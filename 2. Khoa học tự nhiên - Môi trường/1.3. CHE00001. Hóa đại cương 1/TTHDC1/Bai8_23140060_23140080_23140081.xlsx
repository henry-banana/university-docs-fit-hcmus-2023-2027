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 Duyen\Downloads\"/>
    </mc:Choice>
  </mc:AlternateContent>
  <xr:revisionPtr revIDLastSave="0" documentId="8_{D208BF99-4BD1-4F6A-9804-83C51786D3FF}" xr6:coauthVersionLast="47" xr6:coauthVersionMax="47" xr10:uidLastSave="{00000000-0000-0000-0000-000000000000}"/>
  <bookViews>
    <workbookView xWindow="-108" yWindow="-108" windowWidth="23256" windowHeight="12456" xr2:uid="{D8C8CD12-FEF6-48BD-86D5-8A3FD3E33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C14" i="1"/>
  <c r="B14" i="1"/>
  <c r="F24" i="1"/>
  <c r="F21" i="1"/>
  <c r="F22" i="1"/>
  <c r="F23" i="1" s="1"/>
  <c r="B30" i="1"/>
  <c r="F19" i="1"/>
  <c r="F18" i="1"/>
  <c r="F20" i="1" s="1"/>
  <c r="C13" i="1" l="1"/>
  <c r="D13" i="1"/>
  <c r="E13" i="1"/>
  <c r="B13" i="1"/>
</calcChain>
</file>

<file path=xl/sharedStrings.xml><?xml version="1.0" encoding="utf-8"?>
<sst xmlns="http://schemas.openxmlformats.org/spreadsheetml/2006/main" count="30" uniqueCount="30">
  <si>
    <t xml:space="preserve">Mẫu </t>
  </si>
  <si>
    <t>Z</t>
  </si>
  <si>
    <t>Tỷ lệ X/Y</t>
  </si>
  <si>
    <t>Log(X/Y)</t>
  </si>
  <si>
    <t>E (TN) (V)</t>
  </si>
  <si>
    <t>E (LT) (V)</t>
  </si>
  <si>
    <t>%Sai số</t>
  </si>
  <si>
    <t>Bài 8: PIN GALVANY, PHƯƠNG TRÌNH NERNST</t>
  </si>
  <si>
    <t>Lớp: C5P4</t>
  </si>
  <si>
    <t>Phương trình bậc nhất cho đường lý thuyết là:</t>
  </si>
  <si>
    <t>Phương trình bậc nhất cho đường thực nghiệm 4 là:</t>
  </si>
  <si>
    <t>Giá trị n tính được từ đường lý thuyết là:</t>
  </si>
  <si>
    <t>Giá trị n tính được từ đường thực nghiệm là:</t>
  </si>
  <si>
    <t>Sai số của n so với lý thuyết là:(%)</t>
  </si>
  <si>
    <t>Tỷ số nồng độ Z=[Fe3+]/[Fe2+] cần xác định là:</t>
  </si>
  <si>
    <t>y = 0,0352x + 0,36</t>
  </si>
  <si>
    <t>y = 0,0593x + 0,4636</t>
  </si>
  <si>
    <t>LT</t>
  </si>
  <si>
    <t>TN</t>
  </si>
  <si>
    <t>a</t>
  </si>
  <si>
    <t>b</t>
  </si>
  <si>
    <t>Trần Thị Duyên</t>
  </si>
  <si>
    <t>Nguyễn Trần Phương Anh</t>
  </si>
  <si>
    <t>Ngô Phạm Kỳ Duyên</t>
  </si>
  <si>
    <r>
      <t>V</t>
    </r>
    <r>
      <rPr>
        <i/>
        <vertAlign val="subscript"/>
        <sz val="11"/>
        <color theme="1"/>
        <rFont val="Times New Roman"/>
        <family val="1"/>
        <charset val="163"/>
        <scheme val="major"/>
      </rPr>
      <t>Fe3+</t>
    </r>
    <r>
      <rPr>
        <i/>
        <sz val="11"/>
        <color theme="1"/>
        <rFont val="Times New Roman"/>
        <family val="1"/>
        <charset val="163"/>
        <scheme val="major"/>
      </rPr>
      <t xml:space="preserve"> (mL/µL)</t>
    </r>
  </si>
  <si>
    <r>
      <t>V</t>
    </r>
    <r>
      <rPr>
        <i/>
        <vertAlign val="subscript"/>
        <sz val="11"/>
        <color theme="1"/>
        <rFont val="Times New Roman"/>
        <family val="1"/>
        <charset val="163"/>
        <scheme val="major"/>
      </rPr>
      <t>Fe2+</t>
    </r>
    <r>
      <rPr>
        <i/>
        <sz val="11"/>
        <color theme="1"/>
        <rFont val="Times New Roman"/>
        <family val="1"/>
        <charset val="163"/>
        <scheme val="major"/>
      </rPr>
      <t xml:space="preserve"> (mL/µL)</t>
    </r>
  </si>
  <si>
    <r>
      <t>Giá trị E</t>
    </r>
    <r>
      <rPr>
        <vertAlign val="superscript"/>
        <sz val="11"/>
        <color theme="1"/>
        <rFont val="Times New Roman"/>
        <family val="1"/>
        <charset val="163"/>
        <scheme val="major"/>
      </rPr>
      <t>o</t>
    </r>
    <r>
      <rPr>
        <sz val="11"/>
        <color theme="1"/>
        <rFont val="Times New Roman"/>
        <family val="1"/>
        <charset val="163"/>
        <scheme val="major"/>
      </rPr>
      <t>pin tính được từ lý thuyết là:</t>
    </r>
  </si>
  <si>
    <r>
      <t>Giá trị E</t>
    </r>
    <r>
      <rPr>
        <vertAlign val="superscript"/>
        <sz val="11"/>
        <color theme="1"/>
        <rFont val="Times New Roman"/>
        <family val="1"/>
        <charset val="163"/>
        <scheme val="major"/>
      </rPr>
      <t>o</t>
    </r>
    <r>
      <rPr>
        <sz val="11"/>
        <color theme="1"/>
        <rFont val="Times New Roman"/>
        <family val="1"/>
        <charset val="163"/>
        <scheme val="major"/>
      </rPr>
      <t>pin tính được từ thực nghiệm là:</t>
    </r>
  </si>
  <si>
    <r>
      <t>Sai số của E</t>
    </r>
    <r>
      <rPr>
        <vertAlign val="superscript"/>
        <sz val="11"/>
        <color theme="1"/>
        <rFont val="Times New Roman"/>
        <family val="1"/>
        <charset val="163"/>
        <scheme val="major"/>
      </rPr>
      <t>o</t>
    </r>
    <r>
      <rPr>
        <sz val="11"/>
        <color theme="1"/>
        <rFont val="Times New Roman"/>
        <family val="1"/>
        <charset val="163"/>
        <scheme val="major"/>
      </rPr>
      <t>pin so với lý thuyết là:(%)</t>
    </r>
  </si>
  <si>
    <r>
      <t>Log[Cu</t>
    </r>
    <r>
      <rPr>
        <vertAlign val="superscript"/>
        <sz val="11"/>
        <color theme="1"/>
        <rFont val="Times New Roman"/>
        <family val="1"/>
        <charset val="163"/>
        <scheme val="major"/>
      </rPr>
      <t>2+</t>
    </r>
    <r>
      <rPr>
        <sz val="11"/>
        <color theme="1"/>
        <rFont val="Times New Roman"/>
        <family val="1"/>
        <charset val="163"/>
        <scheme val="maj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</si>
</sst>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9" formatCode="0.0000"/>
    <numFmt numFmtId="172" formatCode="0.0"/>
    <numFmt numFmtId="173" formatCode="0.0%"/>
  </numFmts>
  <fonts count="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vertAlign val="superscript"/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i/>
      <sz val="11"/>
      <color theme="1"/>
      <name val="Times New Roman"/>
      <family val="1"/>
      <charset val="163"/>
      <scheme val="major"/>
    </font>
    <font>
      <i/>
      <vertAlign val="subscript"/>
      <sz val="11"/>
      <color theme="1"/>
      <name val="Times New Roman"/>
      <family val="1"/>
      <charset val="163"/>
      <scheme val="major"/>
    </font>
    <font>
      <sz val="11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/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73" fontId="4" fillId="0" borderId="3" xfId="1" applyNumberFormat="1" applyFont="1" applyBorder="1" applyAlignment="1">
      <alignment horizontal="center"/>
    </xf>
    <xf numFmtId="173" fontId="4" fillId="0" borderId="4" xfId="1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72" fontId="4" fillId="0" borderId="1" xfId="0" applyNumberFormat="1" applyFont="1" applyBorder="1"/>
    <xf numFmtId="0" fontId="7" fillId="0" borderId="1" xfId="0" applyFont="1" applyBorder="1"/>
    <xf numFmtId="9" fontId="4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/>
              <a:t>Đồ thị biểu diễn E (TN) theo Log(X/Y)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E (TN) 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65944881889766"/>
                  <c:y val="5.05092592592592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vi-VN"/>
                </a:p>
              </c:txPr>
            </c:trendlineLbl>
          </c:trendline>
          <c:xVal>
            <c:numRef>
              <c:f>Sheet1!$B$11:$E$11</c:f>
              <c:numCache>
                <c:formatCode>0.00</c:formatCode>
                <c:ptCount val="4"/>
                <c:pt idx="0">
                  <c:v>-0.6</c:v>
                </c:pt>
                <c:pt idx="1">
                  <c:v>-0.18</c:v>
                </c:pt>
                <c:pt idx="2">
                  <c:v>0.18</c:v>
                </c:pt>
                <c:pt idx="3">
                  <c:v>0.6</c:v>
                </c:pt>
              </c:numCache>
            </c:numRef>
          </c:xVal>
          <c:yVal>
            <c:numRef>
              <c:f>Sheet1!$B$12:$E$12</c:f>
              <c:numCache>
                <c:formatCode>0.000</c:formatCode>
                <c:ptCount val="4"/>
                <c:pt idx="0">
                  <c:v>0.34</c:v>
                </c:pt>
                <c:pt idx="1">
                  <c:v>0.35</c:v>
                </c:pt>
                <c:pt idx="2">
                  <c:v>0.37</c:v>
                </c:pt>
                <c:pt idx="3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4-4A5E-840C-F5C321FF5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89088"/>
        <c:axId val="595296768"/>
      </c:scatterChart>
      <c:valAx>
        <c:axId val="59528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Log(X/Y)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95296768"/>
        <c:crosses val="autoZero"/>
        <c:crossBetween val="midCat"/>
      </c:valAx>
      <c:valAx>
        <c:axId val="59529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E (TN)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9528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/>
              <a:t>Đồ thị biểu diễn </a:t>
            </a:r>
            <a:r>
              <a:rPr lang="en-US" sz="1200"/>
              <a:t>E(LT)</a:t>
            </a:r>
            <a:r>
              <a:rPr lang="vi-VN" sz="1200"/>
              <a:t> theo Log(X/Y)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E (LT)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414391951006122"/>
                  <c:y val="5.39114902303878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vi-VN"/>
                </a:p>
              </c:txPr>
            </c:trendlineLbl>
          </c:trendline>
          <c:xVal>
            <c:numRef>
              <c:f>Sheet1!$B$11:$E$11</c:f>
              <c:numCache>
                <c:formatCode>0.00</c:formatCode>
                <c:ptCount val="4"/>
                <c:pt idx="0">
                  <c:v>-0.6</c:v>
                </c:pt>
                <c:pt idx="1">
                  <c:v>-0.18</c:v>
                </c:pt>
                <c:pt idx="2">
                  <c:v>0.18</c:v>
                </c:pt>
                <c:pt idx="3">
                  <c:v>0.6</c:v>
                </c:pt>
              </c:numCache>
            </c:numRef>
          </c:xVal>
          <c:yVal>
            <c:numRef>
              <c:f>Sheet1!$B$13:$E$13</c:f>
              <c:numCache>
                <c:formatCode>0.00</c:formatCode>
                <c:ptCount val="4"/>
                <c:pt idx="0">
                  <c:v>0.42795804851338465</c:v>
                </c:pt>
                <c:pt idx="1">
                  <c:v>0.45317539746390367</c:v>
                </c:pt>
                <c:pt idx="2">
                  <c:v>0.47402460253609635</c:v>
                </c:pt>
                <c:pt idx="3">
                  <c:v>0.49924195148661538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5-4533-B170-518B4ADD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889344"/>
        <c:axId val="2063891264"/>
      </c:scatterChart>
      <c:valAx>
        <c:axId val="206388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Log (X/Y)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3891264"/>
        <c:crosses val="autoZero"/>
        <c:crossBetween val="midCat"/>
      </c:valAx>
      <c:valAx>
        <c:axId val="20638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E (LT)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388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183267</xdr:colOff>
      <xdr:row>20</xdr:row>
      <xdr:rowOff>54090</xdr:rowOff>
    </xdr:from>
    <xdr:to>
      <xdr:col>13</xdr:col>
      <xdr:colOff>511513</xdr:colOff>
      <xdr:row>34</xdr:row>
      <xdr:rowOff>90743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19F0FA-0D3A-A703-AB6E-7FCEBBE29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204635</xdr:colOff>
      <xdr:row>5</xdr:row>
      <xdr:rowOff>165829</xdr:rowOff>
    </xdr:from>
    <xdr:to>
      <xdr:col>13</xdr:col>
      <xdr:colOff>527019</xdr:colOff>
      <xdr:row>19</xdr:row>
      <xdr:rowOff>66925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68887E-C26C-77CC-40F1-2E0142FD4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ADC4-8DEB-4AE2-92D9-50D71D29084E}">
  <dimension ref="A1:G30"/>
  <sheetViews>
    <sheetView tabSelected="1" zoomScale="118" zoomScaleNormal="90" workbookViewId="0">
      <selection activeCell="C14" sqref="C14:E14"/>
    </sheetView>
  </sheetViews>
  <sheetFormatPr defaultRowHeight="13.8" x14ac:dyDescent="0.25"/>
  <cols>
    <col min="1" max="1" width="13.3984375" style="2" bestFit="1" customWidth="1"/>
    <col min="2" max="2" width="11.5" style="2" bestFit="1" customWidth="1"/>
    <col min="3" max="4" width="8.796875" style="2"/>
    <col min="5" max="5" width="10.09765625" style="2" customWidth="1"/>
    <col min="6" max="16384" width="8.796875" style="2"/>
  </cols>
  <sheetData>
    <row r="1" spans="1:7" x14ac:dyDescent="0.25">
      <c r="A1" s="1" t="s">
        <v>7</v>
      </c>
      <c r="B1" s="1"/>
      <c r="C1" s="1"/>
      <c r="D1" s="1"/>
    </row>
    <row r="2" spans="1:7" x14ac:dyDescent="0.25">
      <c r="A2" s="2" t="s">
        <v>21</v>
      </c>
      <c r="C2" s="2">
        <v>23140081</v>
      </c>
      <c r="D2" s="1"/>
    </row>
    <row r="3" spans="1:7" x14ac:dyDescent="0.25">
      <c r="A3" s="2" t="s">
        <v>22</v>
      </c>
      <c r="C3" s="2">
        <v>23140060</v>
      </c>
    </row>
    <row r="4" spans="1:7" x14ac:dyDescent="0.25">
      <c r="A4" s="2" t="s">
        <v>23</v>
      </c>
      <c r="C4" s="2">
        <v>23140080</v>
      </c>
    </row>
    <row r="5" spans="1:7" x14ac:dyDescent="0.25">
      <c r="A5" s="2" t="s">
        <v>8</v>
      </c>
    </row>
    <row r="7" spans="1:7" x14ac:dyDescent="0.25">
      <c r="A7" s="3" t="s">
        <v>0</v>
      </c>
      <c r="B7" s="3">
        <v>1</v>
      </c>
      <c r="C7" s="3">
        <v>2</v>
      </c>
      <c r="D7" s="3">
        <v>3</v>
      </c>
      <c r="E7" s="3">
        <v>4</v>
      </c>
      <c r="F7" s="3" t="s">
        <v>1</v>
      </c>
    </row>
    <row r="8" spans="1:7" ht="16.2" x14ac:dyDescent="0.35">
      <c r="A8" s="3" t="s">
        <v>24</v>
      </c>
      <c r="B8" s="4">
        <v>4</v>
      </c>
      <c r="C8" s="4">
        <v>8</v>
      </c>
      <c r="D8" s="4">
        <v>12</v>
      </c>
      <c r="E8" s="4">
        <v>16</v>
      </c>
      <c r="F8" s="5"/>
    </row>
    <row r="9" spans="1:7" ht="16.2" x14ac:dyDescent="0.35">
      <c r="A9" s="3" t="s">
        <v>25</v>
      </c>
      <c r="B9" s="4">
        <v>16</v>
      </c>
      <c r="C9" s="4">
        <v>12</v>
      </c>
      <c r="D9" s="4">
        <v>8</v>
      </c>
      <c r="E9" s="4">
        <v>4</v>
      </c>
      <c r="F9" s="5"/>
    </row>
    <row r="10" spans="1:7" x14ac:dyDescent="0.25">
      <c r="A10" s="3" t="s">
        <v>2</v>
      </c>
      <c r="B10" s="4">
        <v>0.25</v>
      </c>
      <c r="C10" s="4">
        <v>0.66666666666666663</v>
      </c>
      <c r="D10" s="4">
        <v>1.5</v>
      </c>
      <c r="E10" s="4">
        <v>4</v>
      </c>
      <c r="F10" s="5"/>
    </row>
    <row r="11" spans="1:7" x14ac:dyDescent="0.25">
      <c r="A11" s="3" t="s">
        <v>3</v>
      </c>
      <c r="B11" s="4">
        <v>-0.6</v>
      </c>
      <c r="C11" s="4">
        <v>-0.18</v>
      </c>
      <c r="D11" s="4">
        <v>0.18</v>
      </c>
      <c r="E11" s="4">
        <v>0.6</v>
      </c>
      <c r="F11" s="5"/>
    </row>
    <row r="12" spans="1:7" x14ac:dyDescent="0.25">
      <c r="A12" s="3" t="s">
        <v>4</v>
      </c>
      <c r="B12" s="6">
        <v>0.34</v>
      </c>
      <c r="C12" s="6">
        <v>0.35</v>
      </c>
      <c r="D12" s="6">
        <v>0.37</v>
      </c>
      <c r="E12" s="6">
        <v>0.38</v>
      </c>
      <c r="F12" s="6">
        <v>0.35</v>
      </c>
    </row>
    <row r="13" spans="1:7" x14ac:dyDescent="0.25">
      <c r="A13" s="3" t="s">
        <v>5</v>
      </c>
      <c r="B13" s="4">
        <f>0.771-0.337-0.0592*LOG(0.1)/2+0.0592*LOG(B10)/1</f>
        <v>0.42795804851338465</v>
      </c>
      <c r="C13" s="4">
        <f t="shared" ref="C13:E13" si="0">0.771-0.337-0.0592*LOG(0.1)/2+0.0592*LOG(C10)/1</f>
        <v>0.45317539746390367</v>
      </c>
      <c r="D13" s="4">
        <f t="shared" si="0"/>
        <v>0.47402460253609635</v>
      </c>
      <c r="E13" s="4">
        <f t="shared" si="0"/>
        <v>0.49924195148661538</v>
      </c>
      <c r="F13" s="5"/>
    </row>
    <row r="14" spans="1:7" x14ac:dyDescent="0.25">
      <c r="A14" s="3" t="s">
        <v>6</v>
      </c>
      <c r="B14" s="22">
        <f>(B13-B12)/B13</f>
        <v>0.20552960463981945</v>
      </c>
      <c r="C14" s="22">
        <f>(C13-C12)/C13</f>
        <v>0.22767210674123547</v>
      </c>
      <c r="D14" s="22">
        <f>(D13-D12)/D13</f>
        <v>0.21944979644421519</v>
      </c>
      <c r="E14" s="22">
        <f>(E13-E12)/E13</f>
        <v>0.23884601670901898</v>
      </c>
      <c r="F14" s="5"/>
    </row>
    <row r="16" spans="1:7" x14ac:dyDescent="0.25">
      <c r="A16" s="7"/>
      <c r="B16" s="8" t="s">
        <v>9</v>
      </c>
      <c r="C16" s="9"/>
      <c r="D16" s="9"/>
      <c r="E16" s="10"/>
      <c r="F16" s="21" t="s">
        <v>16</v>
      </c>
      <c r="G16" s="11"/>
    </row>
    <row r="17" spans="1:7" x14ac:dyDescent="0.25">
      <c r="B17" s="8" t="s">
        <v>10</v>
      </c>
      <c r="C17" s="9"/>
      <c r="D17" s="9"/>
      <c r="E17" s="10"/>
      <c r="F17" s="21" t="s">
        <v>15</v>
      </c>
      <c r="G17" s="11"/>
    </row>
    <row r="18" spans="1:7" x14ac:dyDescent="0.25">
      <c r="B18" s="8" t="s">
        <v>11</v>
      </c>
      <c r="C18" s="9"/>
      <c r="D18" s="9"/>
      <c r="E18" s="10"/>
      <c r="F18" s="12">
        <f>(0.0592*2)/B27</f>
        <v>1.9966273187183812</v>
      </c>
      <c r="G18" s="13"/>
    </row>
    <row r="19" spans="1:7" x14ac:dyDescent="0.25">
      <c r="B19" s="8" t="s">
        <v>12</v>
      </c>
      <c r="C19" s="9"/>
      <c r="D19" s="9"/>
      <c r="E19" s="10"/>
      <c r="F19" s="12">
        <f>(0.0592*2)/C27</f>
        <v>3.3636363636363638</v>
      </c>
      <c r="G19" s="13"/>
    </row>
    <row r="20" spans="1:7" x14ac:dyDescent="0.25">
      <c r="B20" s="8" t="s">
        <v>13</v>
      </c>
      <c r="C20" s="9"/>
      <c r="D20" s="9"/>
      <c r="E20" s="10"/>
      <c r="F20" s="14">
        <f>(ABS(F18-F19)/F18)</f>
        <v>0.68465909090909094</v>
      </c>
      <c r="G20" s="15"/>
    </row>
    <row r="21" spans="1:7" ht="16.8" x14ac:dyDescent="0.25">
      <c r="B21" s="8" t="s">
        <v>26</v>
      </c>
      <c r="C21" s="9"/>
      <c r="D21" s="9"/>
      <c r="E21" s="10"/>
      <c r="F21" s="16">
        <f>((0.0592/F18)*B30)+B28</f>
        <v>0.43395</v>
      </c>
      <c r="G21" s="17"/>
    </row>
    <row r="22" spans="1:7" ht="16.8" x14ac:dyDescent="0.25">
      <c r="B22" s="8" t="s">
        <v>27</v>
      </c>
      <c r="C22" s="9"/>
      <c r="D22" s="9"/>
      <c r="E22" s="10"/>
      <c r="F22" s="16">
        <f>((0.0592/F19)*B30)+C28</f>
        <v>0.34239999999999998</v>
      </c>
      <c r="G22" s="17"/>
    </row>
    <row r="23" spans="1:7" ht="16.8" x14ac:dyDescent="0.25">
      <c r="B23" s="8" t="s">
        <v>28</v>
      </c>
      <c r="C23" s="9"/>
      <c r="D23" s="9"/>
      <c r="E23" s="10"/>
      <c r="F23" s="14">
        <f>(ABS(F22-F21))/F21</f>
        <v>0.21096900564581178</v>
      </c>
      <c r="G23" s="15"/>
    </row>
    <row r="24" spans="1:7" x14ac:dyDescent="0.25">
      <c r="B24" s="8" t="s">
        <v>14</v>
      </c>
      <c r="C24" s="9"/>
      <c r="D24" s="9"/>
      <c r="E24" s="10"/>
      <c r="F24" s="16">
        <f>10^((F12-C28)/C27)</f>
        <v>0.51988715928604734</v>
      </c>
      <c r="G24" s="17"/>
    </row>
    <row r="26" spans="1:7" x14ac:dyDescent="0.25">
      <c r="A26" s="18"/>
      <c r="B26" s="18" t="s">
        <v>17</v>
      </c>
      <c r="C26" s="18" t="s">
        <v>18</v>
      </c>
    </row>
    <row r="27" spans="1:7" x14ac:dyDescent="0.25">
      <c r="A27" s="18" t="s">
        <v>19</v>
      </c>
      <c r="B27" s="18">
        <v>5.9299999999999999E-2</v>
      </c>
      <c r="C27" s="18">
        <v>3.5200000000000002E-2</v>
      </c>
    </row>
    <row r="28" spans="1:7" x14ac:dyDescent="0.25">
      <c r="A28" s="18" t="s">
        <v>20</v>
      </c>
      <c r="B28" s="18">
        <v>0.46360000000000001</v>
      </c>
      <c r="C28" s="19">
        <v>0.36</v>
      </c>
    </row>
    <row r="30" spans="1:7" ht="16.8" x14ac:dyDescent="0.25">
      <c r="A30" s="11" t="s">
        <v>29</v>
      </c>
      <c r="B30" s="20">
        <f>LOG(0.1)</f>
        <v>-1</v>
      </c>
    </row>
  </sheetData>
  <mergeCells count="16">
    <mergeCell ref="F24:G24"/>
    <mergeCell ref="B21:E21"/>
    <mergeCell ref="B22:E22"/>
    <mergeCell ref="B23:E23"/>
    <mergeCell ref="B24:E24"/>
    <mergeCell ref="F18:G18"/>
    <mergeCell ref="F19:G19"/>
    <mergeCell ref="F20:G20"/>
    <mergeCell ref="F21:G21"/>
    <mergeCell ref="F22:G22"/>
    <mergeCell ref="F23:G23"/>
    <mergeCell ref="B16:E16"/>
    <mergeCell ref="B17:E17"/>
    <mergeCell ref="B18:E18"/>
    <mergeCell ref="B19:E19"/>
    <mergeCell ref="B20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Pham Ky Duyen</dc:creator>
  <cp:lastModifiedBy>DUYÊN TRẦN THỊ</cp:lastModifiedBy>
  <dcterms:created xsi:type="dcterms:W3CDTF">2024-05-28T02:18:23Z</dcterms:created>
  <dcterms:modified xsi:type="dcterms:W3CDTF">2024-05-28T08:21:40Z</dcterms:modified>
</cp:coreProperties>
</file>