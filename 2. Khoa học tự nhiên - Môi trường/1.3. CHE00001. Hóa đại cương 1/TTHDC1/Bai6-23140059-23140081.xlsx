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anh23\Downloads\"/>
    </mc:Choice>
  </mc:AlternateContent>
  <xr:revisionPtr revIDLastSave="0" documentId="13_ncr:1_{602F9B69-2D90-4BA1-A5CB-BAFC30B952C4}" xr6:coauthVersionLast="47" xr6:coauthVersionMax="47" xr10:uidLastSave="{00000000-0000-0000-0000-000000000000}"/>
  <bookViews>
    <workbookView xWindow="-103" yWindow="-103" windowWidth="22149" windowHeight="13200" xr2:uid="{47BE3960-5546-4732-9DDF-39D188CCE8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K25" i="1"/>
  <c r="K22" i="1"/>
  <c r="H8" i="1" l="1"/>
  <c r="H9" i="1" s="1"/>
  <c r="I8" i="1"/>
  <c r="I9" i="1"/>
  <c r="H11" i="1"/>
  <c r="I11" i="1"/>
  <c r="H13" i="1"/>
  <c r="H14" i="1" s="1"/>
  <c r="H15" i="1" s="1"/>
  <c r="I13" i="1"/>
  <c r="I14" i="1" s="1"/>
  <c r="I15" i="1" s="1"/>
  <c r="I16" i="1" s="1"/>
  <c r="I17" i="1" s="1"/>
  <c r="I18" i="1" s="1"/>
  <c r="J8" i="1"/>
  <c r="J9" i="1" s="1"/>
  <c r="K8" i="1"/>
  <c r="K9" i="1"/>
  <c r="J11" i="1"/>
  <c r="K11" i="1"/>
  <c r="J13" i="1"/>
  <c r="K13" i="1"/>
  <c r="K14" i="1" s="1"/>
  <c r="K15" i="1" s="1"/>
  <c r="K16" i="1" s="1"/>
  <c r="K17" i="1" s="1"/>
  <c r="K18" i="1" s="1"/>
  <c r="J14" i="1"/>
  <c r="J15" i="1" s="1"/>
  <c r="J16" i="1" s="1"/>
  <c r="J17" i="1" s="1"/>
  <c r="J18" i="1" s="1"/>
  <c r="K24" i="1"/>
  <c r="H16" i="1" l="1"/>
  <c r="H17" i="1" s="1"/>
  <c r="H18" i="1" s="1"/>
  <c r="C13" i="1" l="1"/>
  <c r="D13" i="1"/>
  <c r="E13" i="1"/>
  <c r="F13" i="1"/>
  <c r="G13" i="1"/>
  <c r="B13" i="1"/>
  <c r="B14" i="1" s="1"/>
  <c r="C11" i="1"/>
  <c r="D11" i="1"/>
  <c r="E11" i="1"/>
  <c r="F11" i="1"/>
  <c r="G11" i="1"/>
  <c r="B11" i="1"/>
  <c r="E14" i="1" l="1"/>
  <c r="E15" i="1" s="1"/>
  <c r="E16" i="1" s="1"/>
  <c r="E17" i="1" s="1"/>
  <c r="E18" i="1" s="1"/>
  <c r="G14" i="1"/>
  <c r="G15" i="1" s="1"/>
  <c r="G16" i="1" s="1"/>
  <c r="G17" i="1" s="1"/>
  <c r="G18" i="1" s="1"/>
  <c r="D14" i="1"/>
  <c r="D15" i="1" s="1"/>
  <c r="D16" i="1" s="1"/>
  <c r="D17" i="1" s="1"/>
  <c r="D18" i="1" s="1"/>
  <c r="F14" i="1"/>
  <c r="F15" i="1" s="1"/>
  <c r="F16" i="1" s="1"/>
  <c r="F17" i="1" s="1"/>
  <c r="F18" i="1" s="1"/>
  <c r="C14" i="1"/>
  <c r="C15" i="1" s="1"/>
  <c r="C16" i="1" s="1"/>
  <c r="C17" i="1" s="1"/>
  <c r="C18" i="1" s="1"/>
  <c r="B15" i="1"/>
  <c r="B16" i="1" s="1"/>
  <c r="C8" i="1"/>
  <c r="C9" i="1" s="1"/>
  <c r="D8" i="1"/>
  <c r="D9" i="1" s="1"/>
  <c r="E8" i="1"/>
  <c r="E9" i="1" s="1"/>
  <c r="F8" i="1"/>
  <c r="F9" i="1" s="1"/>
  <c r="G8" i="1"/>
  <c r="G9" i="1" s="1"/>
  <c r="B8" i="1"/>
  <c r="B17" i="1" l="1"/>
  <c r="B18" i="1" s="1"/>
</calcChain>
</file>

<file path=xl/sharedStrings.xml><?xml version="1.0" encoding="utf-8"?>
<sst xmlns="http://schemas.openxmlformats.org/spreadsheetml/2006/main" count="30" uniqueCount="29">
  <si>
    <t>TN*</t>
  </si>
  <si>
    <t>T (°C)</t>
  </si>
  <si>
    <t>T (K) = 273 + T (°C)</t>
  </si>
  <si>
    <t>Số mol HCl sử dụng (mol)</t>
  </si>
  <si>
    <t>BẢNG SỐ LIỆU</t>
  </si>
  <si>
    <r>
      <t>1/T (K</t>
    </r>
    <r>
      <rPr>
        <b/>
        <vertAlign val="superscript"/>
        <sz val="13"/>
        <color theme="1"/>
        <rFont val="Times New Roman"/>
        <family val="1"/>
      </rPr>
      <t>-1</t>
    </r>
    <r>
      <rPr>
        <b/>
        <sz val="13"/>
        <color theme="1"/>
        <rFont val="Times New Roman"/>
        <family val="1"/>
      </rPr>
      <t>)</t>
    </r>
  </si>
  <si>
    <r>
      <t>V</t>
    </r>
    <r>
      <rPr>
        <b/>
        <vertAlign val="subscript"/>
        <sz val="13"/>
        <color theme="1"/>
        <rFont val="Times New Roman"/>
        <family val="1"/>
      </rPr>
      <t>Borax</t>
    </r>
    <r>
      <rPr>
        <b/>
        <sz val="13"/>
        <color theme="1"/>
        <rFont val="Times New Roman"/>
        <family val="1"/>
      </rPr>
      <t xml:space="preserve"> (mL)</t>
    </r>
  </si>
  <si>
    <r>
      <t>V</t>
    </r>
    <r>
      <rPr>
        <b/>
        <vertAlign val="subscript"/>
        <sz val="13"/>
        <color theme="1"/>
        <rFont val="Times New Roman"/>
        <family val="1"/>
      </rPr>
      <t>Borax</t>
    </r>
    <r>
      <rPr>
        <b/>
        <sz val="13"/>
        <color theme="1"/>
        <rFont val="Times New Roman"/>
        <family val="1"/>
      </rPr>
      <t xml:space="preserve"> (L)</t>
    </r>
  </si>
  <si>
    <r>
      <t>V</t>
    </r>
    <r>
      <rPr>
        <b/>
        <vertAlign val="subscript"/>
        <sz val="13"/>
        <color theme="1"/>
        <rFont val="Times New Roman"/>
        <family val="1"/>
      </rPr>
      <t>HCl ~0,5M</t>
    </r>
    <r>
      <rPr>
        <b/>
        <sz val="13"/>
        <color theme="1"/>
        <rFont val="Times New Roman"/>
        <family val="1"/>
      </rPr>
      <t xml:space="preserve"> (mL)(*)</t>
    </r>
  </si>
  <si>
    <r>
      <t>V</t>
    </r>
    <r>
      <rPr>
        <b/>
        <vertAlign val="subscript"/>
        <sz val="13"/>
        <color theme="1"/>
        <rFont val="Times New Roman"/>
        <family val="1"/>
      </rPr>
      <t>HCL ~0,5M</t>
    </r>
    <r>
      <rPr>
        <b/>
        <sz val="13"/>
        <color theme="1"/>
        <rFont val="Times New Roman"/>
        <family val="1"/>
      </rPr>
      <t xml:space="preserve"> (L)(*)</t>
    </r>
  </si>
  <si>
    <r>
      <t>Số mol B</t>
    </r>
    <r>
      <rPr>
        <b/>
        <vertAlign val="subscript"/>
        <sz val="13"/>
        <color theme="1"/>
        <rFont val="Times New Roman"/>
        <family val="1"/>
      </rPr>
      <t>4</t>
    </r>
    <r>
      <rPr>
        <b/>
        <sz val="13"/>
        <color theme="1"/>
        <rFont val="Times New Roman"/>
        <family val="1"/>
      </rPr>
      <t>O</t>
    </r>
    <r>
      <rPr>
        <b/>
        <vertAlign val="subscript"/>
        <sz val="13"/>
        <color theme="1"/>
        <rFont val="Times New Roman"/>
        <family val="1"/>
      </rPr>
      <t>5</t>
    </r>
    <r>
      <rPr>
        <b/>
        <sz val="13"/>
        <color theme="1"/>
        <rFont val="Times New Roman"/>
        <family val="1"/>
      </rPr>
      <t>(OH)</t>
    </r>
    <r>
      <rPr>
        <b/>
        <vertAlign val="subscript"/>
        <sz val="13"/>
        <color theme="1"/>
        <rFont val="Times New Roman"/>
        <family val="1"/>
      </rPr>
      <t>4</t>
    </r>
    <r>
      <rPr>
        <b/>
        <vertAlign val="superscript"/>
        <sz val="13"/>
        <color theme="1"/>
        <rFont val="Times New Roman"/>
        <family val="1"/>
      </rPr>
      <t>2-</t>
    </r>
    <r>
      <rPr>
        <b/>
        <sz val="13"/>
        <color theme="1"/>
        <rFont val="Times New Roman"/>
        <family val="1"/>
      </rPr>
      <t xml:space="preserve"> (mol)</t>
    </r>
  </si>
  <si>
    <r>
      <t>[B</t>
    </r>
    <r>
      <rPr>
        <b/>
        <vertAlign val="subscript"/>
        <sz val="13"/>
        <color theme="1"/>
        <rFont val="Times New Roman"/>
        <family val="1"/>
      </rPr>
      <t>4</t>
    </r>
    <r>
      <rPr>
        <b/>
        <sz val="13"/>
        <color theme="1"/>
        <rFont val="Times New Roman"/>
        <family val="1"/>
      </rPr>
      <t>O</t>
    </r>
    <r>
      <rPr>
        <b/>
        <vertAlign val="subscript"/>
        <sz val="13"/>
        <color theme="1"/>
        <rFont val="Times New Roman"/>
        <family val="1"/>
      </rPr>
      <t>5</t>
    </r>
    <r>
      <rPr>
        <b/>
        <sz val="13"/>
        <color theme="1"/>
        <rFont val="Times New Roman"/>
        <family val="1"/>
      </rPr>
      <t>(OH)</t>
    </r>
    <r>
      <rPr>
        <b/>
        <vertAlign val="subscript"/>
        <sz val="13"/>
        <color theme="1"/>
        <rFont val="Times New Roman"/>
        <family val="1"/>
      </rPr>
      <t>4</t>
    </r>
    <r>
      <rPr>
        <b/>
        <vertAlign val="superscript"/>
        <sz val="13"/>
        <color theme="1"/>
        <rFont val="Times New Roman"/>
        <family val="1"/>
      </rPr>
      <t>2-</t>
    </r>
    <r>
      <rPr>
        <b/>
        <sz val="13"/>
        <color theme="1"/>
        <rFont val="Times New Roman"/>
        <family val="1"/>
      </rPr>
      <t>] (mol/L)</t>
    </r>
  </si>
  <si>
    <r>
      <t>K</t>
    </r>
    <r>
      <rPr>
        <b/>
        <vertAlign val="subscript"/>
        <sz val="13"/>
        <color theme="1"/>
        <rFont val="Times New Roman"/>
        <family val="1"/>
      </rPr>
      <t>sp</t>
    </r>
  </si>
  <si>
    <r>
      <t>LnK</t>
    </r>
    <r>
      <rPr>
        <b/>
        <vertAlign val="subscript"/>
        <sz val="13"/>
        <color theme="1"/>
        <rFont val="Times New Roman"/>
        <family val="1"/>
      </rPr>
      <t>sp</t>
    </r>
  </si>
  <si>
    <t>Nguyễn Thị Huỳnh Anh</t>
  </si>
  <si>
    <t>Họ và tên</t>
  </si>
  <si>
    <t>MSSV</t>
  </si>
  <si>
    <t>[HCl]</t>
  </si>
  <si>
    <t>Trần Thị Duyên</t>
  </si>
  <si>
    <t>Ca thực hành</t>
  </si>
  <si>
    <t>C5P4</t>
  </si>
  <si>
    <t xml:space="preserve">∆H° dương nên phản ứng là phản ứng thu nhiệt </t>
  </si>
  <si>
    <t>∆S° dương nên phản ứng làm tăng độ hỗn loạn và độ tự do</t>
  </si>
  <si>
    <t>Phản ứng không tự xảy ra ở nhiệt độ thường</t>
  </si>
  <si>
    <r>
      <rPr>
        <b/>
        <sz val="13"/>
        <color theme="1"/>
        <rFont val="Symbol"/>
        <family val="1"/>
        <charset val="2"/>
      </rPr>
      <t>D</t>
    </r>
    <r>
      <rPr>
        <b/>
        <sz val="13"/>
        <color theme="1"/>
        <rFont val="Times New Roman"/>
        <family val="1"/>
      </rPr>
      <t>H°/R</t>
    </r>
  </si>
  <si>
    <r>
      <rPr>
        <b/>
        <sz val="13"/>
        <color theme="1"/>
        <rFont val="Symbol"/>
        <family val="1"/>
        <charset val="2"/>
      </rPr>
      <t>D</t>
    </r>
    <r>
      <rPr>
        <b/>
        <sz val="13"/>
        <color theme="1"/>
        <rFont val="Times New Roman"/>
        <family val="1"/>
      </rPr>
      <t>H°</t>
    </r>
  </si>
  <si>
    <r>
      <rPr>
        <b/>
        <sz val="13"/>
        <color theme="1"/>
        <rFont val="Symbol"/>
        <family val="1"/>
        <charset val="2"/>
      </rPr>
      <t>D</t>
    </r>
    <r>
      <rPr>
        <b/>
        <sz val="13"/>
        <color theme="1"/>
        <rFont val="Times New Roman"/>
        <family val="1"/>
      </rPr>
      <t>S°/R</t>
    </r>
  </si>
  <si>
    <r>
      <rPr>
        <b/>
        <sz val="13"/>
        <color theme="1"/>
        <rFont val="Symbol"/>
        <family val="1"/>
        <charset val="2"/>
      </rPr>
      <t>D</t>
    </r>
    <r>
      <rPr>
        <b/>
        <sz val="13"/>
        <color theme="1"/>
        <rFont val="Times New Roman"/>
        <family val="1"/>
      </rPr>
      <t>S°</t>
    </r>
  </si>
  <si>
    <r>
      <rPr>
        <b/>
        <sz val="13"/>
        <color theme="1"/>
        <rFont val="Symbol"/>
        <family val="1"/>
        <charset val="2"/>
      </rPr>
      <t>D</t>
    </r>
    <r>
      <rPr>
        <b/>
        <sz val="13"/>
        <color theme="1"/>
        <rFont val="Times New Roman"/>
        <family val="1"/>
      </rPr>
      <t>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</si>
</sst>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00"/>
    <numFmt numFmtId="166" formatCode="0.0E+00"/>
    <numFmt numFmtId="167" formatCode="0.000"/>
    <numFmt numFmtId="168" formatCode="0.0000E+00\ &quot;J/mol&quot;"/>
    <numFmt numFmtId="169" formatCode="0.00\ &quot;J/mol.K&quot;"/>
    <numFmt numFmtId="170" formatCode="0\ &quot;J/mol&quot;"/>
    <numFmt numFmtId="171" formatCode="0.000E+00"/>
  </numFmts>
  <fonts count="8">
    <font>
      <sz val="11"/>
      <color theme="1"/>
      <name val="Aptos Narrow"/>
      <family val="2"/>
      <charset val="163"/>
      <scheme val="minor"/>
    </font>
    <font>
      <sz val="13"/>
      <color theme="1"/>
      <name val="Times New Roman"/>
      <family val="1"/>
    </font>
    <font>
      <b/>
      <sz val="13"/>
      <color theme="1"/>
      <name val="Times New Roman"/>
      <family val="1"/>
    </font>
    <font>
      <b/>
      <vertAlign val="superscript"/>
      <sz val="13"/>
      <color theme="1"/>
      <name val="Times New Roman"/>
      <family val="1"/>
    </font>
    <font>
      <b/>
      <vertAlign val="subscript"/>
      <sz val="13"/>
      <color theme="1"/>
      <name val="Times New Roman"/>
      <family val="1"/>
    </font>
    <font>
      <b/>
      <sz val="11"/>
      <color theme="1"/>
      <name val="Aptos Narrow"/>
      <family val="1"/>
      <charset val="163"/>
      <scheme val="minor"/>
    </font>
    <font>
      <b/>
      <sz val="13"/>
      <color theme="1"/>
      <name val="Symbol"/>
      <family val="1"/>
      <charset val="2"/>
    </font>
    <font>
      <b/>
      <sz val="13"/>
      <color theme="1"/>
      <name val="Times New Roman"/>
      <family val="1"/>
      <charset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0" borderId="1" xfId="0" applyFont="1" applyBorder="1"/>
    <xf numFmtId="0" fontId="2" fillId="0" borderId="1" xfId="0" applyFont="1" applyBorder="1"/>
    <xf numFmtId="0" fontId="5" fillId="0" borderId="0" xfId="0" applyFont="1" applyAlignment="1">
      <alignment horizontal="center"/>
    </xf>
    <xf numFmtId="0" fontId="0" fillId="0" borderId="0" xfId="0"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11" fontId="1" fillId="0" borderId="1" xfId="0" applyNumberFormat="1" applyFont="1" applyBorder="1" applyAlignment="1">
      <alignment horizontal="center"/>
    </xf>
    <xf numFmtId="166" fontId="1" fillId="0" borderId="1" xfId="0" applyNumberFormat="1" applyFont="1" applyBorder="1" applyAlignment="1">
      <alignment horizontal="center"/>
    </xf>
    <xf numFmtId="2" fontId="1" fillId="0" borderId="1" xfId="0" applyNumberFormat="1" applyFont="1" applyBorder="1" applyAlignment="1">
      <alignment horizontal="center"/>
    </xf>
    <xf numFmtId="165" fontId="1" fillId="0" borderId="1" xfId="0" applyNumberFormat="1" applyFont="1" applyBorder="1" applyAlignment="1">
      <alignment horizontal="center"/>
    </xf>
    <xf numFmtId="167" fontId="1" fillId="0" borderId="1" xfId="0" applyNumberFormat="1" applyFont="1" applyBorder="1" applyAlignment="1">
      <alignment horizontal="center"/>
    </xf>
    <xf numFmtId="0" fontId="2" fillId="0" borderId="1" xfId="0" applyFont="1" applyBorder="1" applyAlignment="1">
      <alignment horizontal="left"/>
    </xf>
    <xf numFmtId="0" fontId="7" fillId="0" borderId="1" xfId="0" applyFont="1" applyBorder="1" applyAlignment="1">
      <alignment horizontal="center"/>
    </xf>
    <xf numFmtId="168" fontId="1" fillId="0" borderId="1" xfId="0" applyNumberFormat="1" applyFont="1" applyBorder="1" applyAlignment="1">
      <alignment horizontal="center"/>
    </xf>
    <xf numFmtId="169" fontId="1" fillId="0" borderId="1" xfId="0" applyNumberFormat="1" applyFont="1" applyBorder="1" applyAlignment="1">
      <alignment horizontal="center"/>
    </xf>
    <xf numFmtId="170" fontId="1" fillId="0" borderId="1" xfId="0" applyNumberFormat="1" applyFont="1" applyBorder="1" applyAlignment="1">
      <alignment horizontal="center"/>
    </xf>
    <xf numFmtId="0" fontId="2" fillId="0" borderId="2" xfId="0" applyFont="1" applyBorder="1" applyAlignment="1">
      <alignment horizontal="center"/>
    </xf>
    <xf numFmtId="0" fontId="1" fillId="0" borderId="0" xfId="0" applyFont="1" applyAlignment="1">
      <alignment horizontal="left" vertical="top" wrapText="1"/>
    </xf>
    <xf numFmtId="0" fontId="1" fillId="0" borderId="0" xfId="0" applyFont="1" applyAlignment="1">
      <alignment horizontal="left"/>
    </xf>
    <xf numFmtId="171" fontId="1"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vi-VN"/>
              <a:t>Đồ thị biểu diễn LnK</a:t>
            </a:r>
            <a:r>
              <a:rPr lang="vi-VN" baseline="-25000"/>
              <a:t>sp</a:t>
            </a:r>
            <a:r>
              <a:rPr lang="vi-VN"/>
              <a:t> theo 1/T</a:t>
            </a:r>
            <a:endParaRPr lang="en-US"/>
          </a:p>
        </c:rich>
      </c:tx>
      <c:overlay val="0"/>
      <c:spPr>
        <a:noFill/>
        <a:ln>
          <a:noFill/>
        </a:ln>
        <a:effectLst/>
      </c:spPr>
    </c:title>
    <c:autoTitleDeleted val="0"/>
    <c:plotArea>
      <c:layout>
        <c:manualLayout>
          <c:layoutTarget val="inner"/>
          <c:xMode val="edge"/>
          <c:yMode val="edge"/>
          <c:x val="0.10471496482198629"/>
          <c:y val="0.1005695818390837"/>
          <c:w val="0.83919311922500328"/>
          <c:h val="0.80547167074399839"/>
        </c:manualLayout>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trendline>
            <c:spPr>
              <a:ln w="9525" cap="rnd">
                <a:solidFill>
                  <a:schemeClr val="accent2"/>
                </a:solidFill>
              </a:ln>
              <a:effectLst/>
            </c:spPr>
            <c:trendlineType val="linear"/>
            <c:dispRSqr val="1"/>
            <c:dispEq val="1"/>
            <c:trendlineLbl>
              <c:layout>
                <c:manualLayout>
                  <c:x val="9.3636084316098128E-3"/>
                  <c:y val="-0.64003028187174538"/>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trendlineLbl>
          </c:trendline>
          <c:trendline>
            <c:spPr>
              <a:ln w="9525" cap="rnd">
                <a:solidFill>
                  <a:schemeClr val="accent2"/>
                </a:solidFill>
              </a:ln>
              <a:effectLst/>
            </c:spPr>
            <c:trendlineType val="linear"/>
            <c:dispRSqr val="0"/>
            <c:dispEq val="0"/>
          </c:trendline>
          <c:trendline>
            <c:spPr>
              <a:ln w="9525" cap="rnd">
                <a:solidFill>
                  <a:schemeClr val="accent2"/>
                </a:solidFill>
              </a:ln>
              <a:effectLst/>
            </c:spPr>
            <c:trendlineType val="linear"/>
            <c:dispRSqr val="0"/>
            <c:dispEq val="0"/>
          </c:trendline>
          <c:trendline>
            <c:spPr>
              <a:ln w="9525" cap="rnd">
                <a:solidFill>
                  <a:schemeClr val="accent2"/>
                </a:solidFill>
              </a:ln>
              <a:effectLst/>
            </c:spPr>
            <c:trendlineType val="linear"/>
            <c:dispRSqr val="0"/>
            <c:dispEq val="0"/>
          </c:trendline>
          <c:xVal>
            <c:numRef>
              <c:f>Sheet1!$B$9:$K$9</c:f>
              <c:numCache>
                <c:formatCode>0.000E+00</c:formatCode>
                <c:ptCount val="10"/>
                <c:pt idx="0">
                  <c:v>3.4458993797381117E-3</c:v>
                </c:pt>
                <c:pt idx="1">
                  <c:v>3.4458993797381117E-3</c:v>
                </c:pt>
                <c:pt idx="2">
                  <c:v>3.3112582781456954E-3</c:v>
                </c:pt>
                <c:pt idx="3">
                  <c:v>3.3112582781456954E-3</c:v>
                </c:pt>
                <c:pt idx="4">
                  <c:v>3.1948881789137379E-3</c:v>
                </c:pt>
                <c:pt idx="5">
                  <c:v>3.1948881789137379E-3</c:v>
                </c:pt>
                <c:pt idx="6">
                  <c:v>3.105590062111801E-3</c:v>
                </c:pt>
                <c:pt idx="7">
                  <c:v>3.1017369727047149E-3</c:v>
                </c:pt>
                <c:pt idx="8">
                  <c:v>3.0057108506161708E-3</c:v>
                </c:pt>
                <c:pt idx="9">
                  <c:v>3.0066145520144315E-3</c:v>
                </c:pt>
              </c:numCache>
            </c:numRef>
          </c:xVal>
          <c:yVal>
            <c:numRef>
              <c:f>Sheet1!$B$18:$K$18</c:f>
              <c:numCache>
                <c:formatCode>0.000</c:formatCode>
                <c:ptCount val="10"/>
                <c:pt idx="0">
                  <c:v>-5.6490093291714816</c:v>
                </c:pt>
                <c:pt idx="1">
                  <c:v>-5.6349247962588596</c:v>
                </c:pt>
                <c:pt idx="2" formatCode="0.00">
                  <c:v>-3.3980925459717994</c:v>
                </c:pt>
                <c:pt idx="3" formatCode="0.00">
                  <c:v>-3.605071160432654</c:v>
                </c:pt>
                <c:pt idx="4" formatCode="0.00">
                  <c:v>-1.8977875647627553</c:v>
                </c:pt>
                <c:pt idx="5" formatCode="0.00">
                  <c:v>-1.988081658234593</c:v>
                </c:pt>
                <c:pt idx="6" formatCode="0.00">
                  <c:v>0.54487003851260396</c:v>
                </c:pt>
                <c:pt idx="7" formatCode="0.00">
                  <c:v>0.63311169413148405</c:v>
                </c:pt>
                <c:pt idx="8" formatCode="0.00">
                  <c:v>1.4000701837699965</c:v>
                </c:pt>
                <c:pt idx="9" formatCode="0.00">
                  <c:v>1.2232425768696469</c:v>
                </c:pt>
              </c:numCache>
            </c:numRef>
          </c:yVal>
          <c:smooth val="0"/>
          <c:extLst>
            <c:ext xmlns:c16="http://schemas.microsoft.com/office/drawing/2014/chart" uri="{C3380CC4-5D6E-409C-BE32-E72D297353CC}">
              <c16:uniqueId val="{00000000-552F-4A66-9E8E-9AEBA5FF853E}"/>
            </c:ext>
          </c:extLst>
        </c:ser>
        <c:dLbls>
          <c:showLegendKey val="0"/>
          <c:showVal val="0"/>
          <c:showCatName val="0"/>
          <c:showSerName val="0"/>
          <c:showPercent val="0"/>
          <c:showBubbleSize val="0"/>
        </c:dLbls>
        <c:axId val="739099984"/>
        <c:axId val="725095776"/>
      </c:scatterChart>
      <c:valAx>
        <c:axId val="73909998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r>
                  <a:rPr lang="vi-VN" sz="1000"/>
                  <a:t>1/T (K</a:t>
                </a:r>
                <a:r>
                  <a:rPr lang="vi-VN" sz="1000" baseline="30000"/>
                  <a:t>-1</a:t>
                </a:r>
                <a:r>
                  <a:rPr lang="vi-VN" sz="1000"/>
                  <a:t>)</a:t>
                </a:r>
                <a:endParaRPr lang="en-US" sz="1000"/>
              </a:p>
            </c:rich>
          </c:tx>
          <c:overlay val="0"/>
          <c:spPr>
            <a:noFill/>
            <a:ln>
              <a:noFill/>
            </a:ln>
            <a:effectLst/>
          </c:spPr>
        </c:title>
        <c:numFmt formatCode="0.000E+00" sourceLinked="1"/>
        <c:majorTickMark val="in"/>
        <c:minorTickMark val="none"/>
        <c:tickLblPos val="low"/>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25095776"/>
        <c:crosses val="autoZero"/>
        <c:crossBetween val="midCat"/>
      </c:valAx>
      <c:valAx>
        <c:axId val="72509577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r>
                  <a:rPr lang="vi-VN" sz="1000"/>
                  <a:t>LnK</a:t>
                </a:r>
                <a:r>
                  <a:rPr lang="vi-VN" sz="1000" baseline="-25000"/>
                  <a:t>sp</a:t>
                </a:r>
                <a:endParaRPr lang="en-US" sz="1000" baseline="-25000"/>
              </a:p>
            </c:rich>
          </c:tx>
          <c:overlay val="0"/>
          <c:spPr>
            <a:noFill/>
            <a:ln>
              <a:noFill/>
            </a:ln>
            <a:effectLst/>
          </c:spPr>
        </c:title>
        <c:numFmt formatCode="0.000" sourceLinked="0"/>
        <c:majorTickMark val="in"/>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73909998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54164</xdr:colOff>
      <xdr:row>20</xdr:row>
      <xdr:rowOff>33547</xdr:rowOff>
    </xdr:from>
    <xdr:to>
      <xdr:col>7</xdr:col>
      <xdr:colOff>255506</xdr:colOff>
      <xdr:row>42</xdr:row>
      <xdr:rowOff>167303</xdr:rowOff>
    </xdr:to>
    <xdr:graphicFrame macro="">
      <xdr:nvGraphicFramePr>
        <xdr:cNvPr id="3" name="Chart 2">
          <a:extLst>
            <a:ext uri="{FF2B5EF4-FFF2-40B4-BE49-F238E27FC236}">
              <a16:creationId xmlns:a16="http://schemas.microsoft.com/office/drawing/2014/main" id="{78293F52-78DF-1AFD-9971-119729367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46892</xdr:colOff>
      <xdr:row>44</xdr:row>
      <xdr:rowOff>11724</xdr:rowOff>
    </xdr:from>
    <xdr:to>
      <xdr:col>12</xdr:col>
      <xdr:colOff>0</xdr:colOff>
      <xdr:row>44</xdr:row>
      <xdr:rowOff>4478216</xdr:rowOff>
    </xdr:to>
    <xdr:sp macro="" textlink="">
      <xdr:nvSpPr>
        <xdr:cNvPr id="4" name="TextBox 3">
          <a:extLst>
            <a:ext uri="{FF2B5EF4-FFF2-40B4-BE49-F238E27FC236}">
              <a16:creationId xmlns:a16="http://schemas.microsoft.com/office/drawing/2014/main" id="{3A9F357F-19E3-933B-EB86-BB73101EA38C}"/>
            </a:ext>
          </a:extLst>
        </xdr:cNvPr>
        <xdr:cNvSpPr txBox="1"/>
      </xdr:nvSpPr>
      <xdr:spPr>
        <a:xfrm>
          <a:off x="46892" y="9659816"/>
          <a:ext cx="14431108" cy="4466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400" b="1"/>
            <a:t>Trả lời câu hỏi:</a:t>
          </a:r>
        </a:p>
        <a:p>
          <a:r>
            <a:rPr lang="vi-VN" sz="1400" b="1"/>
            <a:t>Câu 1</a:t>
          </a:r>
          <a:r>
            <a:rPr lang="vi-VN" sz="1400"/>
            <a:t>. Nếu trong PTN không có bình hút ẩm, sau khi sấy khô Na2CO3 và để nguội trong phòng có độ ẩm cao, sẽ khiến cho khối lượng Na2CO3 tăng cao so với khối lượng thực dẫn đến số mol Na2CO3 tăng lên (n=m/M), từ đó số mol của dung dịch HCl tăng (vì n HCl = 2n Na2CO3).</a:t>
          </a:r>
          <a:r>
            <a:rPr lang="vi-VN" sz="1400" baseline="0"/>
            <a:t> Vì vậy nồng độ mol dung dịch HCl tính được cũng tăng lên so với nồng độ mol thực tế trong mẫu ( CM HCl = n HCL / V HCl)</a:t>
          </a:r>
          <a:endParaRPr lang="vi-VN" sz="1400"/>
        </a:p>
        <a:p>
          <a:r>
            <a:rPr lang="vi-VN" sz="1400" b="1"/>
            <a:t>Câu 2.</a:t>
          </a:r>
          <a:r>
            <a:rPr lang="vi-VN" sz="1400"/>
            <a:t> </a:t>
          </a:r>
        </a:p>
        <a:p>
          <a:r>
            <a:rPr lang="vi-VN" sz="1400" b="1"/>
            <a:t>a. </a:t>
          </a:r>
          <a:r>
            <a:rPr lang="vi-VN" sz="1400"/>
            <a:t>Trong quá trình chuẩn độ HCl bằng phản ứng với Na2CO3, HCl bị cho lố qua điểm cuối thì thể tích mà ta ghi nhận được sẽ nhiều hơn so với thể tích thật để đạt đến điểm cuối phản ứng của HCl =&gt; nồng độ HCl tính được sẽ thấp so với thực tế (CM=n/V, mà số mol HCl tính theo Na2CO3,nên nồng độ HCl mà ta tính ở đây sẽ phụ thuộc vào thể tích HCl tại điểm cuối).</a:t>
          </a:r>
        </a:p>
        <a:p>
          <a:r>
            <a:rPr lang="vi-VN" sz="1400" b="1"/>
            <a:t>b. </a:t>
          </a:r>
          <a:r>
            <a:rPr lang="vi-VN" sz="1400"/>
            <a:t>Do kĩ thuật chuẩn độ kém này, số mol B4O5(OH)42- tính được trong mỗi thí nghiệm sẽ giảm .Vì: Nồng độ HCl tính được ở trên sẽ thấp so với thực tế =&gt; số mol HCl tính trong phần chuẩn độ dung dịch borax sẽ thấp (nHCl = VHCl.CHCl, số mol tỉ lệ nghịch với nồng độ dung dịch) =&gt; số mol B4O5(OH)42- sẽ giảm (số mol B4O5(OH)42-  = số mol H+/2). Điều này dẫn đến việc giảm số mol HCl thực tế tham gia phản ứng. Kết quả là số mol B4O5(OH)- tính được sẽ ít hơn so với số mol thực tế trong mẫu.</a:t>
          </a:r>
        </a:p>
        <a:p>
          <a:r>
            <a:rPr lang="vi-VN" sz="1400" b="1"/>
            <a:t>Câu 3</a:t>
          </a:r>
          <a:r>
            <a:rPr lang="vi-VN" sz="1400"/>
            <a:t>.Khi hút dung dịch borax bằng pipet, nếu lỡ hút luôn tinh thể cho vào erlen thì khi  chuẩn độ bằng HCl, thể tích mà HCl dùng để chuẩn độ tới điểm cuối sẽ giảm so với thể tích dùng để chuẩn độ thể tích borax vì lúc này thể tích dung dịch borax đã giảm vì bị lẫn tinh thể vào và làm giảm thể tích dung dịch đi =&gt; số mol HCl giảm (n=CM.V)=&gt; số mol  B4O5(OH)42- giảm (số mol B4O5(OH)42- = số mol H+/2) =&gt; nồng độ của B4O5(OH)42- giảm =&gt; Ksp giảm (Ksp = 4[B4O5(OH)42- ]3 ). Vậy lỗi này sẽ làm giá trị Ksp thu được sẽ thấp hơn.</a:t>
          </a:r>
        </a:p>
        <a:p>
          <a:r>
            <a:rPr lang="vi-VN" sz="1400"/>
            <a:t>*Tại sao lại phải đuổi CO2 trước khi đến điểm cuối của quá trình chuẩn độ HCl bằng Na2CO3 </a:t>
          </a:r>
        </a:p>
        <a:p>
          <a:r>
            <a:rPr lang="vi-VN" sz="1400"/>
            <a:t>HCl (dd) +Na2CO3 (dd) -&gt; NaCl (dd) +H2O (l) + CO2 (k)</a:t>
          </a:r>
        </a:p>
        <a:p>
          <a:r>
            <a:rPr lang="vi-VN" sz="1400"/>
            <a:t>Quá trình chuẩn độ này sinh ra khí CO2, và ở trong môi trường dung dịch có nước sẽ chuyển 1 phần sang acid yếu H2CO3, mà metyl cam lại là chất chỉ thị đổi màu trong khoảng 3.1 - 4.4 (tức trong môi trường acid yếu), nên dung dịch lúc ta chuẩn độ đó mặc dù chưa đặt điểm cuối nhưng lại bị đổi màu do CO2 sinh ra. Vì vậy, ta cần phải đuổi CO2 bằng cách đem nung để điểm cuối của quá trình chuẩn độ có thể chính xác hơn.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17427-47F7-4553-BD66-3DBB70B54FC9}">
  <dimension ref="A1:N49"/>
  <sheetViews>
    <sheetView tabSelected="1" zoomScale="52" zoomScaleNormal="234" workbookViewId="0">
      <selection activeCell="B18" sqref="B18"/>
    </sheetView>
  </sheetViews>
  <sheetFormatPr defaultColWidth="9.23046875" defaultRowHeight="16.3"/>
  <cols>
    <col min="1" max="1" width="27.61328125" style="1" customWidth="1"/>
    <col min="2" max="2" width="15" style="1" customWidth="1"/>
    <col min="3" max="3" width="14.921875" style="1" customWidth="1"/>
    <col min="4" max="4" width="14.765625" style="1" customWidth="1"/>
    <col min="5" max="6" width="14.69140625" style="1" customWidth="1"/>
    <col min="7" max="7" width="14.765625" style="1" customWidth="1"/>
    <col min="8" max="8" width="14.69140625" style="1" customWidth="1"/>
    <col min="9" max="9" width="14.4609375" style="1" customWidth="1"/>
    <col min="10" max="10" width="14.69140625" style="1" customWidth="1"/>
    <col min="11" max="11" width="21.4609375" style="1" customWidth="1"/>
    <col min="12" max="12" width="14.61328125" style="1" customWidth="1"/>
    <col min="13" max="14" width="9.23046875" style="1" customWidth="1"/>
    <col min="15" max="16384" width="9.23046875" style="1"/>
  </cols>
  <sheetData>
    <row r="1" spans="1:14">
      <c r="A1" s="2" t="s">
        <v>15</v>
      </c>
      <c r="B1" s="6" t="s">
        <v>16</v>
      </c>
      <c r="C1" s="6" t="s">
        <v>19</v>
      </c>
    </row>
    <row r="2" spans="1:14">
      <c r="A2" s="2" t="s">
        <v>14</v>
      </c>
      <c r="B2" s="6">
        <v>23140059</v>
      </c>
      <c r="C2" s="6" t="s">
        <v>20</v>
      </c>
      <c r="L2" s="4"/>
      <c r="N2" s="5"/>
    </row>
    <row r="3" spans="1:14">
      <c r="A3" s="2" t="s">
        <v>18</v>
      </c>
      <c r="B3" s="6">
        <v>23140081</v>
      </c>
      <c r="C3" s="6" t="s">
        <v>20</v>
      </c>
      <c r="E3" s="2" t="s">
        <v>17</v>
      </c>
      <c r="F3" s="6">
        <v>0.45100000000000001</v>
      </c>
    </row>
    <row r="5" spans="1:14">
      <c r="A5" s="18" t="s">
        <v>4</v>
      </c>
      <c r="B5" s="18"/>
      <c r="C5" s="18"/>
      <c r="D5" s="18"/>
      <c r="E5" s="18"/>
      <c r="F5" s="18"/>
      <c r="G5" s="18"/>
      <c r="H5" s="18"/>
      <c r="I5" s="18"/>
      <c r="J5" s="18"/>
      <c r="K5" s="18"/>
    </row>
    <row r="6" spans="1:14">
      <c r="A6" s="13" t="s">
        <v>0</v>
      </c>
      <c r="B6" s="6">
        <v>1</v>
      </c>
      <c r="C6" s="6">
        <v>2</v>
      </c>
      <c r="D6" s="6">
        <v>3</v>
      </c>
      <c r="E6" s="6">
        <v>4</v>
      </c>
      <c r="F6" s="6">
        <v>5</v>
      </c>
      <c r="G6" s="6">
        <v>6</v>
      </c>
      <c r="H6" s="6">
        <v>7</v>
      </c>
      <c r="I6" s="6">
        <v>8</v>
      </c>
      <c r="J6" s="6">
        <v>9</v>
      </c>
      <c r="K6" s="6">
        <v>10</v>
      </c>
    </row>
    <row r="7" spans="1:14">
      <c r="A7" s="3" t="s">
        <v>1</v>
      </c>
      <c r="B7" s="7">
        <v>17.2</v>
      </c>
      <c r="C7" s="7">
        <v>17.2</v>
      </c>
      <c r="D7" s="7">
        <v>29</v>
      </c>
      <c r="E7" s="7">
        <v>29</v>
      </c>
      <c r="F7" s="7">
        <v>40</v>
      </c>
      <c r="G7" s="7">
        <v>40</v>
      </c>
      <c r="H7" s="7">
        <v>49</v>
      </c>
      <c r="I7" s="7">
        <v>49.4</v>
      </c>
      <c r="J7" s="7">
        <v>59.7</v>
      </c>
      <c r="K7" s="7">
        <v>59.6</v>
      </c>
    </row>
    <row r="8" spans="1:14">
      <c r="A8" s="3" t="s">
        <v>2</v>
      </c>
      <c r="B8" s="7">
        <f>B7+273</f>
        <v>290.2</v>
      </c>
      <c r="C8" s="7">
        <f t="shared" ref="C8:K8" si="0">C7+273</f>
        <v>290.2</v>
      </c>
      <c r="D8" s="7">
        <f t="shared" si="0"/>
        <v>302</v>
      </c>
      <c r="E8" s="7">
        <f t="shared" si="0"/>
        <v>302</v>
      </c>
      <c r="F8" s="7">
        <f t="shared" si="0"/>
        <v>313</v>
      </c>
      <c r="G8" s="7">
        <f t="shared" si="0"/>
        <v>313</v>
      </c>
      <c r="H8" s="7">
        <f t="shared" si="0"/>
        <v>322</v>
      </c>
      <c r="I8" s="7">
        <f t="shared" si="0"/>
        <v>322.39999999999998</v>
      </c>
      <c r="J8" s="7">
        <f t="shared" si="0"/>
        <v>332.7</v>
      </c>
      <c r="K8" s="7">
        <f t="shared" si="0"/>
        <v>332.6</v>
      </c>
    </row>
    <row r="9" spans="1:14" ht="18.45">
      <c r="A9" s="3" t="s">
        <v>5</v>
      </c>
      <c r="B9" s="21">
        <f>1/B8</f>
        <v>3.4458993797381117E-3</v>
      </c>
      <c r="C9" s="21">
        <f t="shared" ref="C9:K9" si="1">1/C8</f>
        <v>3.4458993797381117E-3</v>
      </c>
      <c r="D9" s="21">
        <f t="shared" si="1"/>
        <v>3.3112582781456954E-3</v>
      </c>
      <c r="E9" s="21">
        <f t="shared" si="1"/>
        <v>3.3112582781456954E-3</v>
      </c>
      <c r="F9" s="21">
        <f t="shared" si="1"/>
        <v>3.1948881789137379E-3</v>
      </c>
      <c r="G9" s="21">
        <f t="shared" si="1"/>
        <v>3.1948881789137379E-3</v>
      </c>
      <c r="H9" s="21">
        <f t="shared" si="1"/>
        <v>3.105590062111801E-3</v>
      </c>
      <c r="I9" s="21">
        <f t="shared" si="1"/>
        <v>3.1017369727047149E-3</v>
      </c>
      <c r="J9" s="21">
        <f t="shared" si="1"/>
        <v>3.0057108506161708E-3</v>
      </c>
      <c r="K9" s="21">
        <f t="shared" si="1"/>
        <v>3.0066145520144315E-3</v>
      </c>
    </row>
    <row r="10" spans="1:14" ht="19.75">
      <c r="A10" s="3" t="s">
        <v>6</v>
      </c>
      <c r="B10" s="7">
        <v>10</v>
      </c>
      <c r="C10" s="7">
        <v>10</v>
      </c>
      <c r="D10" s="7">
        <v>5</v>
      </c>
      <c r="E10" s="7">
        <v>5</v>
      </c>
      <c r="F10" s="7">
        <v>5</v>
      </c>
      <c r="G10" s="7">
        <v>5</v>
      </c>
      <c r="H10" s="7">
        <v>2</v>
      </c>
      <c r="I10" s="7">
        <v>2</v>
      </c>
      <c r="J10" s="7">
        <v>2</v>
      </c>
      <c r="K10" s="7">
        <v>2</v>
      </c>
    </row>
    <row r="11" spans="1:14" ht="19.75">
      <c r="A11" s="3" t="s">
        <v>7</v>
      </c>
      <c r="B11" s="8">
        <f>B10*10^(-3)</f>
        <v>0.01</v>
      </c>
      <c r="C11" s="8">
        <f t="shared" ref="C11:K11" si="2">C10*10^(-3)</f>
        <v>0.01</v>
      </c>
      <c r="D11" s="9">
        <f t="shared" si="2"/>
        <v>5.0000000000000001E-3</v>
      </c>
      <c r="E11" s="9">
        <f t="shared" si="2"/>
        <v>5.0000000000000001E-3</v>
      </c>
      <c r="F11" s="9">
        <f t="shared" si="2"/>
        <v>5.0000000000000001E-3</v>
      </c>
      <c r="G11" s="9">
        <f t="shared" si="2"/>
        <v>5.0000000000000001E-3</v>
      </c>
      <c r="H11" s="9">
        <f t="shared" si="2"/>
        <v>2E-3</v>
      </c>
      <c r="I11" s="9">
        <f t="shared" si="2"/>
        <v>2E-3</v>
      </c>
      <c r="J11" s="9">
        <f t="shared" si="2"/>
        <v>2E-3</v>
      </c>
      <c r="K11" s="9">
        <f t="shared" si="2"/>
        <v>2E-3</v>
      </c>
    </row>
    <row r="12" spans="1:14" ht="19.75">
      <c r="A12" s="3" t="s">
        <v>8</v>
      </c>
      <c r="B12" s="10">
        <v>4.25</v>
      </c>
      <c r="C12" s="10">
        <v>4.2699999999999996</v>
      </c>
      <c r="D12" s="10">
        <v>4.5</v>
      </c>
      <c r="E12" s="10">
        <v>4.2</v>
      </c>
      <c r="F12" s="10">
        <v>7.42</v>
      </c>
      <c r="G12" s="10">
        <v>7.2</v>
      </c>
      <c r="H12" s="10">
        <v>6.7</v>
      </c>
      <c r="I12" s="10">
        <v>6.9</v>
      </c>
      <c r="J12" s="10">
        <v>8.91</v>
      </c>
      <c r="K12" s="10">
        <v>8.4</v>
      </c>
    </row>
    <row r="13" spans="1:14" ht="19.75">
      <c r="A13" s="3" t="s">
        <v>9</v>
      </c>
      <c r="B13" s="8">
        <f>B12*10^(-3)</f>
        <v>4.2500000000000003E-3</v>
      </c>
      <c r="C13" s="8">
        <f t="shared" ref="C13:K13" si="3">C12*10^(-3)</f>
        <v>4.2699999999999995E-3</v>
      </c>
      <c r="D13" s="8">
        <f t="shared" si="3"/>
        <v>4.5000000000000005E-3</v>
      </c>
      <c r="E13" s="8">
        <f t="shared" si="3"/>
        <v>4.2000000000000006E-3</v>
      </c>
      <c r="F13" s="8">
        <f t="shared" si="3"/>
        <v>7.4200000000000004E-3</v>
      </c>
      <c r="G13" s="8">
        <f t="shared" si="3"/>
        <v>7.2000000000000007E-3</v>
      </c>
      <c r="H13" s="8">
        <f t="shared" si="3"/>
        <v>6.7000000000000002E-3</v>
      </c>
      <c r="I13" s="8">
        <f t="shared" si="3"/>
        <v>6.9000000000000008E-3</v>
      </c>
      <c r="J13" s="8">
        <f t="shared" si="3"/>
        <v>8.9099999999999995E-3</v>
      </c>
      <c r="K13" s="8">
        <f t="shared" si="3"/>
        <v>8.4000000000000012E-3</v>
      </c>
    </row>
    <row r="14" spans="1:14">
      <c r="A14" s="3" t="s">
        <v>3</v>
      </c>
      <c r="B14" s="8">
        <f t="shared" ref="B14:K14" si="4">$F$3*B13</f>
        <v>1.9167500000000003E-3</v>
      </c>
      <c r="C14" s="8">
        <f t="shared" si="4"/>
        <v>1.9257699999999998E-3</v>
      </c>
      <c r="D14" s="8">
        <f t="shared" si="4"/>
        <v>2.0295000000000005E-3</v>
      </c>
      <c r="E14" s="8">
        <f t="shared" si="4"/>
        <v>1.8942000000000004E-3</v>
      </c>
      <c r="F14" s="8">
        <f t="shared" si="4"/>
        <v>3.3464200000000001E-3</v>
      </c>
      <c r="G14" s="8">
        <f t="shared" si="4"/>
        <v>3.2472000000000004E-3</v>
      </c>
      <c r="H14" s="8">
        <f t="shared" si="4"/>
        <v>3.0217E-3</v>
      </c>
      <c r="I14" s="8">
        <f t="shared" si="4"/>
        <v>3.1119000000000003E-3</v>
      </c>
      <c r="J14" s="8">
        <f t="shared" si="4"/>
        <v>4.01841E-3</v>
      </c>
      <c r="K14" s="8">
        <f t="shared" si="4"/>
        <v>3.7884000000000008E-3</v>
      </c>
    </row>
    <row r="15" spans="1:14" ht="20.149999999999999">
      <c r="A15" s="3" t="s">
        <v>10</v>
      </c>
      <c r="B15" s="8">
        <f>B14/2</f>
        <v>9.5837500000000013E-4</v>
      </c>
      <c r="C15" s="8">
        <f t="shared" ref="C15:K15" si="5">C14/2</f>
        <v>9.6288499999999991E-4</v>
      </c>
      <c r="D15" s="8">
        <f t="shared" si="5"/>
        <v>1.0147500000000002E-3</v>
      </c>
      <c r="E15" s="8">
        <f t="shared" si="5"/>
        <v>9.471000000000002E-4</v>
      </c>
      <c r="F15" s="8">
        <f t="shared" si="5"/>
        <v>1.6732100000000001E-3</v>
      </c>
      <c r="G15" s="8">
        <f t="shared" si="5"/>
        <v>1.6236000000000002E-3</v>
      </c>
      <c r="H15" s="8">
        <f t="shared" si="5"/>
        <v>1.51085E-3</v>
      </c>
      <c r="I15" s="8">
        <f t="shared" si="5"/>
        <v>1.5559500000000002E-3</v>
      </c>
      <c r="J15" s="8">
        <f t="shared" si="5"/>
        <v>2.009205E-3</v>
      </c>
      <c r="K15" s="8">
        <f t="shared" si="5"/>
        <v>1.8942000000000004E-3</v>
      </c>
    </row>
    <row r="16" spans="1:14" ht="20.149999999999999">
      <c r="A16" s="3" t="s">
        <v>11</v>
      </c>
      <c r="B16" s="8">
        <f>B15/B11</f>
        <v>9.5837500000000006E-2</v>
      </c>
      <c r="C16" s="8">
        <f t="shared" ref="C16:K16" si="6">C15/C11</f>
        <v>9.6288499999999985E-2</v>
      </c>
      <c r="D16" s="9">
        <f t="shared" si="6"/>
        <v>0.20295000000000005</v>
      </c>
      <c r="E16" s="9">
        <f t="shared" si="6"/>
        <v>0.18942000000000003</v>
      </c>
      <c r="F16" s="9">
        <f t="shared" si="6"/>
        <v>0.334642</v>
      </c>
      <c r="G16" s="9">
        <f t="shared" si="6"/>
        <v>0.32472000000000006</v>
      </c>
      <c r="H16" s="9">
        <f t="shared" si="6"/>
        <v>0.75542500000000001</v>
      </c>
      <c r="I16" s="9">
        <f t="shared" si="6"/>
        <v>0.77797500000000008</v>
      </c>
      <c r="J16" s="9">
        <f t="shared" si="6"/>
        <v>1.0046025000000001</v>
      </c>
      <c r="K16" s="9">
        <f t="shared" si="6"/>
        <v>0.94710000000000016</v>
      </c>
    </row>
    <row r="17" spans="1:12" ht="19.75">
      <c r="A17" s="3" t="s">
        <v>12</v>
      </c>
      <c r="B17" s="11">
        <f>4*B16^3</f>
        <v>3.5210032028359381E-3</v>
      </c>
      <c r="C17" s="11">
        <f t="shared" ref="C17:K17" si="7">4*C16^3</f>
        <v>3.5709457716020148E-3</v>
      </c>
      <c r="D17" s="12">
        <f t="shared" si="7"/>
        <v>3.3436988689500027E-2</v>
      </c>
      <c r="E17" s="12">
        <f t="shared" si="7"/>
        <v>2.7185510211552015E-2</v>
      </c>
      <c r="F17" s="10">
        <f t="shared" si="7"/>
        <v>0.14989989643574914</v>
      </c>
      <c r="G17" s="10">
        <f t="shared" si="7"/>
        <v>0.13695790567219207</v>
      </c>
      <c r="H17" s="7">
        <f t="shared" si="7"/>
        <v>1.7243842642695628</v>
      </c>
      <c r="I17" s="7">
        <f t="shared" si="7"/>
        <v>1.8834622286349381</v>
      </c>
      <c r="J17" s="7">
        <f t="shared" si="7"/>
        <v>4.0554845860541455</v>
      </c>
      <c r="K17" s="7">
        <f t="shared" si="7"/>
        <v>3.3981887764440017</v>
      </c>
    </row>
    <row r="18" spans="1:12" ht="19.75">
      <c r="A18" s="3" t="s">
        <v>13</v>
      </c>
      <c r="B18" s="12">
        <f>LN(B17)</f>
        <v>-5.6490093291714816</v>
      </c>
      <c r="C18" s="12">
        <f t="shared" ref="C18:K18" si="8">LN(C17)</f>
        <v>-5.6349247962588596</v>
      </c>
      <c r="D18" s="10">
        <f t="shared" si="8"/>
        <v>-3.3980925459717994</v>
      </c>
      <c r="E18" s="10">
        <f t="shared" si="8"/>
        <v>-3.605071160432654</v>
      </c>
      <c r="F18" s="10">
        <f t="shared" si="8"/>
        <v>-1.8977875647627553</v>
      </c>
      <c r="G18" s="10">
        <f t="shared" si="8"/>
        <v>-1.988081658234593</v>
      </c>
      <c r="H18" s="10">
        <f t="shared" si="8"/>
        <v>0.54487003851260396</v>
      </c>
      <c r="I18" s="10">
        <f t="shared" si="8"/>
        <v>0.63311169413148405</v>
      </c>
      <c r="J18" s="10">
        <f t="shared" si="8"/>
        <v>1.4000701837699965</v>
      </c>
      <c r="K18" s="10">
        <f t="shared" si="8"/>
        <v>1.2232425768696469</v>
      </c>
    </row>
    <row r="21" spans="1:12">
      <c r="J21" s="14" t="s">
        <v>24</v>
      </c>
      <c r="K21" s="6">
        <v>16513</v>
      </c>
    </row>
    <row r="22" spans="1:12">
      <c r="J22" s="14" t="s">
        <v>25</v>
      </c>
      <c r="K22" s="15">
        <f>K21*8.314</f>
        <v>137289.08199999999</v>
      </c>
    </row>
    <row r="23" spans="1:12">
      <c r="J23" s="14" t="s">
        <v>26</v>
      </c>
      <c r="K23" s="6">
        <v>51.209000000000003</v>
      </c>
    </row>
    <row r="24" spans="1:12">
      <c r="J24" s="14" t="s">
        <v>27</v>
      </c>
      <c r="K24" s="16">
        <f>K23*8.314</f>
        <v>425.75162600000004</v>
      </c>
    </row>
    <row r="25" spans="1:12">
      <c r="J25" s="14" t="s">
        <v>28</v>
      </c>
      <c r="K25" s="17">
        <f>K22-298*K24</f>
        <v>10415.097451999987</v>
      </c>
    </row>
    <row r="27" spans="1:12">
      <c r="I27" s="20" t="s">
        <v>21</v>
      </c>
      <c r="J27" s="20"/>
      <c r="K27" s="20"/>
      <c r="L27" s="20"/>
    </row>
    <row r="28" spans="1:12">
      <c r="I28" s="20" t="s">
        <v>22</v>
      </c>
      <c r="J28" s="20"/>
      <c r="K28" s="20"/>
      <c r="L28" s="20"/>
    </row>
    <row r="29" spans="1:12">
      <c r="I29" s="20" t="s">
        <v>23</v>
      </c>
      <c r="J29" s="20"/>
      <c r="K29" s="20"/>
      <c r="L29" s="20"/>
    </row>
    <row r="45" spans="1:11" ht="365.15" customHeight="1">
      <c r="A45" s="19"/>
      <c r="B45" s="19"/>
      <c r="C45" s="19"/>
      <c r="D45" s="19"/>
      <c r="E45" s="19"/>
      <c r="F45" s="19"/>
      <c r="G45" s="19"/>
      <c r="H45" s="19"/>
      <c r="I45" s="19"/>
      <c r="J45" s="19"/>
      <c r="K45" s="19"/>
    </row>
    <row r="49" ht="18.45" customHeight="1"/>
  </sheetData>
  <mergeCells count="5">
    <mergeCell ref="A5:K5"/>
    <mergeCell ref="A45:K45"/>
    <mergeCell ref="I29:L29"/>
    <mergeCell ref="I28:L28"/>
    <mergeCell ref="I27:L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a28c9f-f4c9-4b6b-8c60-2aca6b29b5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5D80A961CF914CB6C77C0CF800026B" ma:contentTypeVersion="5" ma:contentTypeDescription="Create a new document." ma:contentTypeScope="" ma:versionID="9e811abc6f3bc107337f678aaf229957">
  <xsd:schema xmlns:xsd="http://www.w3.org/2001/XMLSchema" xmlns:xs="http://www.w3.org/2001/XMLSchema" xmlns:p="http://schemas.microsoft.com/office/2006/metadata/properties" xmlns:ns3="9aa28c9f-f4c9-4b6b-8c60-2aca6b29b5ff" targetNamespace="http://schemas.microsoft.com/office/2006/metadata/properties" ma:root="true" ma:fieldsID="d78b2546a4f54f81d346f5141fe67126" ns3:_="">
    <xsd:import namespace="9aa28c9f-f4c9-4b6b-8c60-2aca6b29b5f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a28c9f-f4c9-4b6b-8c60-2aca6b29b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349C53-4D54-440D-98EC-41B24BF5F15A}">
  <ds:schemaRefs>
    <ds:schemaRef ds:uri="http://purl.org/dc/elements/1.1/"/>
    <ds:schemaRef ds:uri="http://schemas.openxmlformats.org/package/2006/metadata/core-properties"/>
    <ds:schemaRef ds:uri="http://www.w3.org/XML/1998/namespace"/>
    <ds:schemaRef ds:uri="http://schemas.microsoft.com/office/infopath/2007/PartnerControls"/>
    <ds:schemaRef ds:uri="http://schemas.microsoft.com/office/2006/documentManagement/types"/>
    <ds:schemaRef ds:uri="http://purl.org/dc/dcmitype/"/>
    <ds:schemaRef ds:uri="http://purl.org/dc/terms/"/>
    <ds:schemaRef ds:uri="9aa28c9f-f4c9-4b6b-8c60-2aca6b29b5ff"/>
    <ds:schemaRef ds:uri="http://schemas.microsoft.com/office/2006/metadata/properties"/>
  </ds:schemaRefs>
</ds:datastoreItem>
</file>

<file path=customXml/itemProps2.xml><?xml version="1.0" encoding="utf-8"?>
<ds:datastoreItem xmlns:ds="http://schemas.openxmlformats.org/officeDocument/2006/customXml" ds:itemID="{CE01B492-325D-4B28-88ED-F138C0E4D187}">
  <ds:schemaRefs>
    <ds:schemaRef ds:uri="http://schemas.microsoft.com/sharepoint/v3/contenttype/forms"/>
  </ds:schemaRefs>
</ds:datastoreItem>
</file>

<file path=customXml/itemProps3.xml><?xml version="1.0" encoding="utf-8"?>
<ds:datastoreItem xmlns:ds="http://schemas.openxmlformats.org/officeDocument/2006/customXml" ds:itemID="{CB9B1199-4271-4223-AED7-C253968F1B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a28c9f-f4c9-4b6b-8c60-2aca6b29b5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Nguyễn</dc:creator>
  <cp:lastModifiedBy>Anh Nguyễn</cp:lastModifiedBy>
  <dcterms:created xsi:type="dcterms:W3CDTF">2024-05-10T13:50:45Z</dcterms:created>
  <dcterms:modified xsi:type="dcterms:W3CDTF">2024-05-14T14:42:07Z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0x010100245D80A961CF914CB6C77C0CF800026B</vt:lpwstr>
  </property>
</Properties>
</file>