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Tran Duyen\Downloads\"/>
    </mc:Choice>
  </mc:AlternateContent>
  <xr:revisionPtr revIDLastSave="0" documentId="13_ncr:1_{44ED4268-F1A1-45FD-9529-71A6479568CA}" xr6:coauthVersionLast="47" xr6:coauthVersionMax="47" xr10:uidLastSave="{00000000-0000-0000-0000-000000000000}"/>
  <bookViews>
    <workbookView xWindow="-108" yWindow="-108" windowWidth="23256" windowHeight="12456" tabRatio="1000" firstSheet="3" activeTab="6" xr2:uid="{F8B5C081-4DC3-49A5-8E98-4AD424925785}"/>
  </bookViews>
  <sheets>
    <sheet name="Số liệu thô" sheetId="1" r:id="rId1"/>
    <sheet name="XĐ bậc I-" sheetId="2" r:id="rId2"/>
    <sheet name="XĐ bậc H2O2" sheetId="3" r:id="rId3"/>
    <sheet name="Hằng số tốc độ p.ứ" sheetId="4" r:id="rId4"/>
    <sheet name="Ảnh hưởng của nhiệt độ" sheetId="6" r:id="rId5"/>
    <sheet name="Ảnh hưởng của xúc tác" sheetId="7" r:id="rId6"/>
    <sheet name="Trả lời câu hỏi"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G3" i="7"/>
  <c r="G2" i="7"/>
  <c r="H2" i="6"/>
  <c r="G4" i="6"/>
  <c r="G3" i="6"/>
  <c r="G2" i="6"/>
  <c r="E6" i="4"/>
  <c r="D8" i="4"/>
  <c r="D9" i="4"/>
  <c r="D10" i="4"/>
  <c r="D11" i="4"/>
  <c r="D12" i="4"/>
  <c r="D7" i="4"/>
  <c r="D6" i="4"/>
  <c r="C5" i="3"/>
  <c r="B8" i="3"/>
  <c r="B7" i="3"/>
  <c r="B6" i="3"/>
  <c r="B5" i="3"/>
  <c r="B8" i="2"/>
  <c r="B7" i="2"/>
  <c r="B6" i="2"/>
  <c r="B5" i="2"/>
  <c r="F23" i="1"/>
  <c r="F24" i="1"/>
  <c r="F25" i="1"/>
  <c r="F26" i="1"/>
  <c r="F27" i="1"/>
  <c r="F28" i="1"/>
  <c r="F29" i="1"/>
  <c r="F30" i="1"/>
  <c r="F31" i="1"/>
  <c r="F22" i="1"/>
  <c r="B3" i="7" l="1"/>
  <c r="B2" i="7"/>
  <c r="B3" i="6"/>
  <c r="B2" i="6"/>
  <c r="B3" i="4"/>
  <c r="B2" i="4"/>
  <c r="B1" i="4"/>
  <c r="B1" i="6"/>
  <c r="B1" i="7"/>
  <c r="H3" i="7"/>
  <c r="F3" i="7"/>
  <c r="F2" i="7"/>
  <c r="E3" i="7"/>
  <c r="E2" i="7"/>
  <c r="C32" i="6"/>
  <c r="B5" i="7" l="1"/>
  <c r="B9" i="6"/>
  <c r="C9" i="6" s="1"/>
  <c r="D9" i="6" s="1"/>
  <c r="B8" i="6"/>
  <c r="C8" i="6" s="1"/>
  <c r="D8" i="6" s="1"/>
  <c r="B7" i="6"/>
  <c r="C7" i="6" s="1"/>
  <c r="D7" i="6" s="1"/>
  <c r="F4" i="6"/>
  <c r="F3" i="6"/>
  <c r="F2" i="6"/>
  <c r="E4" i="6"/>
  <c r="E3" i="6"/>
  <c r="E2" i="6"/>
  <c r="E7" i="4"/>
  <c r="E8" i="4"/>
  <c r="E9" i="4"/>
  <c r="E10" i="4"/>
  <c r="E11" i="4"/>
  <c r="E12" i="4"/>
  <c r="C12" i="4"/>
  <c r="C11" i="4"/>
  <c r="C10" i="4"/>
  <c r="C9" i="4"/>
  <c r="C8" i="4"/>
  <c r="C7" i="4"/>
  <c r="C6" i="4"/>
  <c r="B12" i="4"/>
  <c r="B11" i="4"/>
  <c r="B10" i="4"/>
  <c r="B9" i="4"/>
  <c r="B8" i="4"/>
  <c r="B7" i="4"/>
  <c r="B6" i="4"/>
  <c r="B1" i="3"/>
  <c r="B1" i="2"/>
  <c r="C23" i="1"/>
  <c r="C24" i="1"/>
  <c r="C25" i="1"/>
  <c r="C26" i="1"/>
  <c r="C27" i="1"/>
  <c r="C28" i="1"/>
  <c r="C29" i="1"/>
  <c r="C30" i="1"/>
  <c r="C31" i="1"/>
  <c r="C22" i="1"/>
  <c r="F6" i="3"/>
  <c r="F7" i="3"/>
  <c r="F8" i="3"/>
  <c r="F5" i="3"/>
  <c r="E8" i="3"/>
  <c r="E7" i="3"/>
  <c r="E6" i="3"/>
  <c r="E5" i="3"/>
  <c r="B2" i="3"/>
  <c r="B2" i="2"/>
  <c r="E13" i="4" l="1"/>
  <c r="E7" i="6"/>
  <c r="F7" i="6" s="1"/>
  <c r="H4" i="6"/>
  <c r="E9" i="6" s="1"/>
  <c r="F9" i="6" s="1"/>
  <c r="H3" i="6"/>
  <c r="E8" i="6" s="1"/>
  <c r="F8" i="6" s="1"/>
  <c r="C6" i="3"/>
  <c r="D6" i="3" s="1"/>
  <c r="C7" i="3"/>
  <c r="D7" i="3" s="1"/>
  <c r="C8" i="3"/>
  <c r="D8" i="3" s="1"/>
  <c r="D5" i="3"/>
  <c r="F6" i="2" l="1"/>
  <c r="F7" i="2"/>
  <c r="F8" i="2"/>
  <c r="E5" i="2"/>
  <c r="E6" i="2"/>
  <c r="F5" i="2"/>
  <c r="D22" i="1"/>
  <c r="D29" i="1"/>
  <c r="E8" i="2"/>
  <c r="E7" i="2"/>
  <c r="C6" i="2"/>
  <c r="D6" i="2" s="1"/>
  <c r="C7" i="2"/>
  <c r="D7" i="2" s="1"/>
  <c r="C8" i="2"/>
  <c r="D8" i="2" s="1"/>
  <c r="C5" i="2"/>
  <c r="D5" i="2" s="1"/>
  <c r="B23" i="1" l="1"/>
  <c r="B24" i="1"/>
  <c r="B25" i="1"/>
  <c r="B26" i="1"/>
  <c r="B27" i="1"/>
  <c r="B28" i="1"/>
  <c r="B29" i="1"/>
  <c r="B30" i="1"/>
  <c r="B31" i="1"/>
  <c r="B22" i="1"/>
  <c r="E23" i="1"/>
  <c r="E24" i="1"/>
  <c r="E25" i="1"/>
  <c r="E26" i="1"/>
  <c r="E27" i="1"/>
  <c r="E28" i="1"/>
  <c r="E29" i="1"/>
  <c r="E30" i="1"/>
  <c r="E31" i="1"/>
  <c r="E22" i="1"/>
  <c r="D23" i="1"/>
  <c r="D24" i="1"/>
  <c r="D25" i="1"/>
  <c r="D26" i="1"/>
  <c r="D27" i="1"/>
  <c r="D28" i="1"/>
  <c r="D30" i="1"/>
  <c r="D31" i="1"/>
</calcChain>
</file>

<file path=xl/sharedStrings.xml><?xml version="1.0" encoding="utf-8"?>
<sst xmlns="http://schemas.openxmlformats.org/spreadsheetml/2006/main" count="133" uniqueCount="67">
  <si>
    <t>Họ và tên</t>
  </si>
  <si>
    <t>MSSV</t>
  </si>
  <si>
    <t>Ca thực hành</t>
  </si>
  <si>
    <t>Nguyễn Thị Huỳnh Anh</t>
  </si>
  <si>
    <t>Trần Thị Duyên</t>
  </si>
  <si>
    <t>C5P4</t>
  </si>
  <si>
    <t>TN</t>
  </si>
  <si>
    <t>DD đệm (mL)</t>
  </si>
  <si>
    <t>Hồ tinh bột (giọt)</t>
  </si>
  <si>
    <t>Xúc tác (mL)</t>
  </si>
  <si>
    <t>Nhiệt độ (℃)</t>
  </si>
  <si>
    <r>
      <t>H</t>
    </r>
    <r>
      <rPr>
        <b/>
        <vertAlign val="subscript"/>
        <sz val="11"/>
        <color theme="1"/>
        <rFont val="Times New Roman"/>
        <family val="1"/>
      </rPr>
      <t>2</t>
    </r>
    <r>
      <rPr>
        <b/>
        <sz val="11"/>
        <color theme="1"/>
        <rFont val="Times New Roman"/>
        <family val="1"/>
      </rPr>
      <t>O (mL)</t>
    </r>
  </si>
  <si>
    <t>KI 0.050M (mL)</t>
  </si>
  <si>
    <r>
      <t>Na</t>
    </r>
    <r>
      <rPr>
        <b/>
        <vertAlign val="subscript"/>
        <sz val="11"/>
        <color theme="1"/>
        <rFont val="Times New Roman"/>
        <family val="1"/>
      </rPr>
      <t>2</t>
    </r>
    <r>
      <rPr>
        <b/>
        <sz val="11"/>
        <color theme="1"/>
        <rFont val="Times New Roman"/>
        <family val="1"/>
      </rPr>
      <t>S</t>
    </r>
    <r>
      <rPr>
        <b/>
        <vertAlign val="subscript"/>
        <sz val="11"/>
        <color theme="1"/>
        <rFont val="Times New Roman"/>
        <family val="1"/>
      </rPr>
      <t>2</t>
    </r>
    <r>
      <rPr>
        <b/>
        <sz val="11"/>
        <color theme="1"/>
        <rFont val="Times New Roman"/>
        <family val="1"/>
      </rPr>
      <t>O</t>
    </r>
    <r>
      <rPr>
        <b/>
        <vertAlign val="subscript"/>
        <sz val="11"/>
        <color theme="1"/>
        <rFont val="Times New Roman"/>
        <family val="1"/>
      </rPr>
      <t>3</t>
    </r>
    <r>
      <rPr>
        <b/>
        <sz val="11"/>
        <color theme="1"/>
        <rFont val="Times New Roman"/>
        <family val="1"/>
      </rPr>
      <t xml:space="preserve"> 0.050M (mL)</t>
    </r>
  </si>
  <si>
    <r>
      <t>H</t>
    </r>
    <r>
      <rPr>
        <b/>
        <vertAlign val="subscript"/>
        <sz val="11"/>
        <color theme="1"/>
        <rFont val="Times New Roman"/>
        <family val="1"/>
      </rPr>
      <t>2</t>
    </r>
    <r>
      <rPr>
        <b/>
        <sz val="11"/>
        <color theme="1"/>
        <rFont val="Times New Roman"/>
        <family val="1"/>
      </rPr>
      <t>O</t>
    </r>
    <r>
      <rPr>
        <b/>
        <vertAlign val="subscript"/>
        <sz val="11"/>
        <color theme="1"/>
        <rFont val="Times New Roman"/>
        <family val="1"/>
      </rPr>
      <t>2</t>
    </r>
    <r>
      <rPr>
        <b/>
        <sz val="11"/>
        <color theme="1"/>
        <rFont val="Times New Roman"/>
        <family val="1"/>
      </rPr>
      <t xml:space="preserve"> 0.80M (mL)</t>
    </r>
  </si>
  <si>
    <t>Nhiệt độ (℃) Đầu/Cuối</t>
  </si>
  <si>
    <t>Thời gian p/ứ Δt (giây)</t>
  </si>
  <si>
    <t>Đầu</t>
  </si>
  <si>
    <t>Cuối</t>
  </si>
  <si>
    <t>1a</t>
  </si>
  <si>
    <t>Phòng</t>
  </si>
  <si>
    <t>2ab</t>
  </si>
  <si>
    <t>3a</t>
  </si>
  <si>
    <t>4a</t>
  </si>
  <si>
    <t>5b</t>
  </si>
  <si>
    <t>6b</t>
  </si>
  <si>
    <t>7b</t>
  </si>
  <si>
    <t>Phòng -10</t>
  </si>
  <si>
    <t>Phòng +10</t>
  </si>
  <si>
    <t>Bảng 7.1. Thể tích các dung dịch sử dụng cho các thí nghiệm và thời gian phản ứng</t>
  </si>
  <si>
    <t>Nhiệt độ trung bình</t>
  </si>
  <si>
    <t>[KI]</t>
  </si>
  <si>
    <t>Tốc độ p/ứ</t>
  </si>
  <si>
    <r>
      <t>[S</t>
    </r>
    <r>
      <rPr>
        <b/>
        <vertAlign val="subscript"/>
        <sz val="13"/>
        <color theme="1"/>
        <rFont val="Times New Roman"/>
        <family val="1"/>
      </rPr>
      <t>2</t>
    </r>
    <r>
      <rPr>
        <b/>
        <sz val="13"/>
        <color theme="1"/>
        <rFont val="Times New Roman"/>
        <family val="1"/>
      </rPr>
      <t>O</t>
    </r>
    <r>
      <rPr>
        <b/>
        <vertAlign val="subscript"/>
        <sz val="13"/>
        <color theme="1"/>
        <rFont val="Times New Roman"/>
        <family val="1"/>
      </rPr>
      <t>3</t>
    </r>
    <r>
      <rPr>
        <b/>
        <vertAlign val="superscript"/>
        <sz val="13"/>
        <color theme="1"/>
        <rFont val="Times New Roman"/>
        <family val="1"/>
      </rPr>
      <t>-</t>
    </r>
    <r>
      <rPr>
        <b/>
        <sz val="13"/>
        <color theme="1"/>
        <rFont val="Times New Roman"/>
        <family val="1"/>
      </rPr>
      <t>]</t>
    </r>
  </si>
  <si>
    <r>
      <t>[H</t>
    </r>
    <r>
      <rPr>
        <b/>
        <vertAlign val="subscript"/>
        <sz val="13"/>
        <color theme="1"/>
        <rFont val="Times New Roman"/>
        <family val="1"/>
      </rPr>
      <t>2</t>
    </r>
    <r>
      <rPr>
        <b/>
        <sz val="13"/>
        <color theme="1"/>
        <rFont val="Times New Roman"/>
        <family val="1"/>
      </rPr>
      <t>O</t>
    </r>
    <r>
      <rPr>
        <b/>
        <vertAlign val="subscript"/>
        <sz val="13"/>
        <color theme="1"/>
        <rFont val="Times New Roman"/>
        <family val="1"/>
      </rPr>
      <t>2</t>
    </r>
    <r>
      <rPr>
        <b/>
        <sz val="13"/>
        <color theme="1"/>
        <rFont val="Times New Roman"/>
        <family val="1"/>
      </rPr>
      <t>]</t>
    </r>
  </si>
  <si>
    <r>
      <t>[S</t>
    </r>
    <r>
      <rPr>
        <b/>
        <vertAlign val="subscript"/>
        <sz val="13"/>
        <color theme="1"/>
        <rFont val="Times New Roman"/>
        <family val="1"/>
      </rPr>
      <t>2</t>
    </r>
    <r>
      <rPr>
        <b/>
        <sz val="13"/>
        <color theme="1"/>
        <rFont val="Times New Roman"/>
        <family val="1"/>
      </rPr>
      <t>O</t>
    </r>
    <r>
      <rPr>
        <b/>
        <vertAlign val="subscript"/>
        <sz val="13"/>
        <color theme="1"/>
        <rFont val="Times New Roman"/>
        <family val="1"/>
      </rPr>
      <t>3</t>
    </r>
    <r>
      <rPr>
        <b/>
        <vertAlign val="superscript"/>
        <sz val="13"/>
        <color theme="1"/>
        <rFont val="Times New Roman"/>
        <family val="1"/>
      </rPr>
      <t>2-</t>
    </r>
    <r>
      <rPr>
        <b/>
        <sz val="13"/>
        <color theme="1"/>
        <rFont val="Times New Roman"/>
        <family val="1"/>
      </rPr>
      <t>]</t>
    </r>
  </si>
  <si>
    <t>V (M/giây)</t>
  </si>
  <si>
    <t>LogV</t>
  </si>
  <si>
    <t>Phương trình</t>
  </si>
  <si>
    <t>a</t>
  </si>
  <si>
    <t>y = 1,1094x - 2,629</t>
  </si>
  <si>
    <t>T (°C)</t>
  </si>
  <si>
    <r>
      <t>[I</t>
    </r>
    <r>
      <rPr>
        <b/>
        <vertAlign val="superscript"/>
        <sz val="13"/>
        <color theme="1"/>
        <rFont val="Times New Roman"/>
        <family val="1"/>
      </rPr>
      <t>-</t>
    </r>
    <r>
      <rPr>
        <b/>
        <sz val="13"/>
        <color theme="1"/>
        <rFont val="Times New Roman"/>
        <family val="1"/>
      </rPr>
      <t>]</t>
    </r>
    <r>
      <rPr>
        <b/>
        <vertAlign val="subscript"/>
        <sz val="13"/>
        <color theme="1"/>
        <rFont val="Times New Roman"/>
        <family val="1"/>
      </rPr>
      <t xml:space="preserve">0 </t>
    </r>
    <r>
      <rPr>
        <b/>
        <sz val="13"/>
        <color theme="1"/>
        <rFont val="Times New Roman"/>
        <family val="1"/>
      </rPr>
      <t>M</t>
    </r>
  </si>
  <si>
    <r>
      <t>Log[I</t>
    </r>
    <r>
      <rPr>
        <b/>
        <vertAlign val="superscript"/>
        <sz val="13"/>
        <color theme="1"/>
        <rFont val="Times New Roman"/>
        <family val="1"/>
      </rPr>
      <t>-</t>
    </r>
    <r>
      <rPr>
        <b/>
        <sz val="13"/>
        <color theme="1"/>
        <rFont val="Times New Roman"/>
        <family val="1"/>
      </rPr>
      <t>]</t>
    </r>
    <r>
      <rPr>
        <b/>
        <vertAlign val="subscript"/>
        <sz val="13"/>
        <color theme="1"/>
        <rFont val="Times New Roman"/>
        <family val="1"/>
      </rPr>
      <t>0</t>
    </r>
  </si>
  <si>
    <r>
      <t>R</t>
    </r>
    <r>
      <rPr>
        <vertAlign val="superscript"/>
        <sz val="13"/>
        <color theme="1"/>
        <rFont val="Times New Roman"/>
        <family val="1"/>
      </rPr>
      <t>2</t>
    </r>
    <r>
      <rPr>
        <sz val="13"/>
        <color theme="1"/>
        <rFont val="Times New Roman"/>
        <family val="1"/>
      </rPr>
      <t xml:space="preserve"> = 0.9658</t>
    </r>
  </si>
  <si>
    <r>
      <t>Bậc phản ứng của [I</t>
    </r>
    <r>
      <rPr>
        <b/>
        <vertAlign val="superscript"/>
        <sz val="13"/>
        <color theme="1"/>
        <rFont val="Times New Roman"/>
        <family val="1"/>
      </rPr>
      <t>-</t>
    </r>
    <r>
      <rPr>
        <b/>
        <sz val="13"/>
        <color theme="1"/>
        <rFont val="Times New Roman"/>
        <family val="1"/>
      </rPr>
      <t>]</t>
    </r>
    <r>
      <rPr>
        <b/>
        <vertAlign val="subscript"/>
        <sz val="13"/>
        <color theme="1"/>
        <rFont val="Times New Roman"/>
        <family val="1"/>
      </rPr>
      <t>0</t>
    </r>
    <r>
      <rPr>
        <b/>
        <sz val="13"/>
        <color theme="1"/>
        <rFont val="Times New Roman"/>
        <family val="1"/>
      </rPr>
      <t xml:space="preserve"> (p)</t>
    </r>
  </si>
  <si>
    <t>Thời gian Δt (giây)</t>
  </si>
  <si>
    <r>
      <t>[H</t>
    </r>
    <r>
      <rPr>
        <b/>
        <vertAlign val="subscript"/>
        <sz val="13"/>
        <color theme="1"/>
        <rFont val="Times New Roman"/>
        <family val="1"/>
      </rPr>
      <t>2</t>
    </r>
    <r>
      <rPr>
        <b/>
        <sz val="13"/>
        <color theme="1"/>
        <rFont val="Times New Roman"/>
        <family val="1"/>
      </rPr>
      <t>O</t>
    </r>
    <r>
      <rPr>
        <b/>
        <vertAlign val="subscript"/>
        <sz val="13"/>
        <color theme="1"/>
        <rFont val="Times New Roman"/>
        <family val="1"/>
      </rPr>
      <t>2</t>
    </r>
    <r>
      <rPr>
        <b/>
        <sz val="13"/>
        <color theme="1"/>
        <rFont val="Times New Roman"/>
        <family val="1"/>
      </rPr>
      <t>]</t>
    </r>
    <r>
      <rPr>
        <b/>
        <vertAlign val="subscript"/>
        <sz val="13"/>
        <color theme="1"/>
        <rFont val="Times New Roman"/>
        <family val="1"/>
      </rPr>
      <t xml:space="preserve">0 </t>
    </r>
    <r>
      <rPr>
        <b/>
        <sz val="13"/>
        <color theme="1"/>
        <rFont val="Times New Roman"/>
        <family val="1"/>
      </rPr>
      <t>M</t>
    </r>
  </si>
  <si>
    <r>
      <t>Log[H</t>
    </r>
    <r>
      <rPr>
        <b/>
        <vertAlign val="subscript"/>
        <sz val="13"/>
        <color theme="1"/>
        <rFont val="Times New Roman"/>
        <family val="1"/>
      </rPr>
      <t>2</t>
    </r>
    <r>
      <rPr>
        <b/>
        <sz val="13"/>
        <color theme="1"/>
        <rFont val="Times New Roman"/>
        <family val="1"/>
      </rPr>
      <t>O</t>
    </r>
    <r>
      <rPr>
        <b/>
        <vertAlign val="subscript"/>
        <sz val="13"/>
        <color theme="1"/>
        <rFont val="Times New Roman"/>
        <family val="1"/>
      </rPr>
      <t>2</t>
    </r>
    <r>
      <rPr>
        <b/>
        <sz val="13"/>
        <color theme="1"/>
        <rFont val="Times New Roman"/>
        <family val="1"/>
      </rPr>
      <t>]</t>
    </r>
    <r>
      <rPr>
        <b/>
        <vertAlign val="subscript"/>
        <sz val="13"/>
        <color theme="1"/>
        <rFont val="Times New Roman"/>
        <family val="1"/>
      </rPr>
      <t>0</t>
    </r>
  </si>
  <si>
    <t>y = 1,1606x - 3,4883</t>
  </si>
  <si>
    <r>
      <t>R</t>
    </r>
    <r>
      <rPr>
        <vertAlign val="superscript"/>
        <sz val="13"/>
        <color theme="1"/>
        <rFont val="Times New Roman"/>
        <family val="1"/>
      </rPr>
      <t>2</t>
    </r>
    <r>
      <rPr>
        <sz val="13"/>
        <color theme="1"/>
        <rFont val="Times New Roman"/>
        <family val="1"/>
      </rPr>
      <t xml:space="preserve"> = 0.9957</t>
    </r>
  </si>
  <si>
    <r>
      <t>Bậc p/ứ của I</t>
    </r>
    <r>
      <rPr>
        <b/>
        <vertAlign val="superscript"/>
        <sz val="13"/>
        <color theme="1"/>
        <rFont val="Times New Roman"/>
        <family val="1"/>
      </rPr>
      <t>-</t>
    </r>
  </si>
  <si>
    <r>
      <t>Bậc p/ứ của H</t>
    </r>
    <r>
      <rPr>
        <b/>
        <vertAlign val="subscript"/>
        <sz val="13"/>
        <color theme="1"/>
        <rFont val="Times New Roman"/>
        <family val="1"/>
      </rPr>
      <t>2</t>
    </r>
    <r>
      <rPr>
        <b/>
        <sz val="13"/>
        <color theme="1"/>
        <rFont val="Times New Roman"/>
        <family val="1"/>
      </rPr>
      <t>O</t>
    </r>
    <r>
      <rPr>
        <b/>
        <vertAlign val="subscript"/>
        <sz val="13"/>
        <color theme="1"/>
        <rFont val="Times New Roman"/>
        <family val="1"/>
      </rPr>
      <t>2</t>
    </r>
  </si>
  <si>
    <t>k'</t>
  </si>
  <si>
    <r>
      <t>[I</t>
    </r>
    <r>
      <rPr>
        <b/>
        <vertAlign val="superscript"/>
        <sz val="13"/>
        <color theme="1"/>
        <rFont val="Times New Roman"/>
        <family val="1"/>
      </rPr>
      <t>-</t>
    </r>
    <r>
      <rPr>
        <b/>
        <sz val="13"/>
        <color theme="1"/>
        <rFont val="Times New Roman"/>
        <family val="1"/>
      </rPr>
      <t>]</t>
    </r>
  </si>
  <si>
    <t>TRUNG BÌNH</t>
  </si>
  <si>
    <t>Lnk'</t>
  </si>
  <si>
    <r>
      <t>1/T (K</t>
    </r>
    <r>
      <rPr>
        <b/>
        <vertAlign val="superscript"/>
        <sz val="13"/>
        <color theme="1"/>
        <rFont val="Times New Roman"/>
        <family val="1"/>
      </rPr>
      <t>-1</t>
    </r>
    <r>
      <rPr>
        <b/>
        <sz val="13"/>
        <color theme="1"/>
        <rFont val="Times New Roman"/>
        <family val="1"/>
      </rPr>
      <t>)</t>
    </r>
  </si>
  <si>
    <t>T</t>
  </si>
  <si>
    <t>y = -6139x + 16,434</t>
  </si>
  <si>
    <r>
      <t>R</t>
    </r>
    <r>
      <rPr>
        <vertAlign val="superscript"/>
        <sz val="13"/>
        <color theme="1"/>
        <rFont val="Times New Roman"/>
        <family val="1"/>
      </rPr>
      <t>2</t>
    </r>
    <r>
      <rPr>
        <sz val="13"/>
        <color theme="1"/>
        <rFont val="Times New Roman"/>
        <family val="1"/>
      </rPr>
      <t xml:space="preserve"> = 0.9991</t>
    </r>
  </si>
  <si>
    <r>
      <t>E</t>
    </r>
    <r>
      <rPr>
        <b/>
        <vertAlign val="subscript"/>
        <sz val="13"/>
        <color theme="1"/>
        <rFont val="Times New Roman"/>
        <family val="1"/>
      </rPr>
      <t>a</t>
    </r>
    <r>
      <rPr>
        <b/>
        <sz val="13"/>
        <color theme="1"/>
        <rFont val="Times New Roman"/>
        <family val="1"/>
      </rPr>
      <t>/R</t>
    </r>
  </si>
  <si>
    <r>
      <t>E</t>
    </r>
    <r>
      <rPr>
        <b/>
        <vertAlign val="subscript"/>
        <sz val="13"/>
        <color theme="1"/>
        <rFont val="Times New Roman"/>
        <family val="1"/>
      </rPr>
      <t>a</t>
    </r>
  </si>
  <si>
    <t>Nhiệt độ (°C)</t>
  </si>
  <si>
    <t xml:space="preserve">Nhận xét </t>
  </si>
  <si>
    <r>
      <t>k'</t>
    </r>
    <r>
      <rPr>
        <b/>
        <vertAlign val="subscript"/>
        <sz val="13"/>
        <color theme="1"/>
        <rFont val="Times New Roman"/>
        <family val="1"/>
      </rPr>
      <t>10</t>
    </r>
    <r>
      <rPr>
        <b/>
        <sz val="13"/>
        <color theme="1"/>
        <rFont val="Times New Roman"/>
        <family val="1"/>
      </rPr>
      <t>/k'</t>
    </r>
    <r>
      <rPr>
        <b/>
        <vertAlign val="subscript"/>
        <sz val="13"/>
        <color theme="1"/>
        <rFont val="Times New Roman"/>
        <family val="1"/>
      </rPr>
      <t>2ab</t>
    </r>
  </si>
  <si>
    <t>Chất xúc tác làm tăng tốc độ phản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</si>
</sst>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E+00"/>
    <numFmt numFmtId="167" formatCode="0.000E+00"/>
  </numFmts>
  <fonts count="9" x14ac:knownFonts="1">
    <font>
      <sz val="11"/>
      <color theme="1"/>
      <name val="Arial"/>
      <family val="2"/>
      <charset val="163"/>
      <scheme val="minor"/>
    </font>
    <font>
      <sz val="11"/>
      <color theme="1"/>
      <name val="Times New Roman"/>
      <family val="1"/>
    </font>
    <font>
      <sz val="13"/>
      <color theme="1"/>
      <name val="Times New Roman"/>
      <family val="1"/>
    </font>
    <font>
      <b/>
      <sz val="11"/>
      <color theme="1"/>
      <name val="Times New Roman"/>
      <family val="1"/>
    </font>
    <font>
      <b/>
      <vertAlign val="subscript"/>
      <sz val="11"/>
      <color theme="1"/>
      <name val="Times New Roman"/>
      <family val="1"/>
    </font>
    <font>
      <b/>
      <sz val="13"/>
      <color theme="1"/>
      <name val="Times New Roman"/>
      <family val="1"/>
    </font>
    <font>
      <b/>
      <vertAlign val="subscript"/>
      <sz val="13"/>
      <color theme="1"/>
      <name val="Times New Roman"/>
      <family val="1"/>
    </font>
    <font>
      <b/>
      <vertAlign val="superscript"/>
      <sz val="13"/>
      <color theme="1"/>
      <name val="Times New Roman"/>
      <family val="1"/>
    </font>
    <font>
      <vertAlign val="superscript"/>
      <sz val="13"/>
      <color theme="1"/>
      <name val="Times New Roman"/>
      <family val="1"/>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4">
    <xf numFmtId="0" fontId="0" fillId="0" borderId="0" xfId="0"/>
    <xf numFmtId="0" fontId="2" fillId="0" borderId="0" xfId="0" applyFont="1"/>
    <xf numFmtId="0" fontId="2" fillId="0" borderId="1" xfId="0" applyFont="1" applyBorder="1"/>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164" fontId="1" fillId="0" borderId="1" xfId="0" applyNumberFormat="1" applyFont="1" applyBorder="1" applyAlignment="1">
      <alignment horizontal="center"/>
    </xf>
    <xf numFmtId="0" fontId="1" fillId="0" borderId="1" xfId="0" applyFont="1" applyBorder="1" applyAlignment="1">
      <alignment horizontal="center"/>
    </xf>
    <xf numFmtId="2" fontId="1" fillId="0" borderId="1" xfId="0" applyNumberFormat="1" applyFont="1" applyBorder="1" applyAlignment="1">
      <alignment horizontal="center"/>
    </xf>
    <xf numFmtId="164" fontId="2" fillId="0" borderId="1" xfId="0" applyNumberFormat="1" applyFont="1" applyBorder="1" applyAlignment="1">
      <alignment horizontal="center"/>
    </xf>
    <xf numFmtId="166" fontId="2" fillId="0" borderId="1" xfId="0" applyNumberFormat="1" applyFont="1" applyBorder="1" applyAlignment="1">
      <alignment horizontal="center"/>
    </xf>
    <xf numFmtId="165" fontId="2" fillId="0" borderId="1" xfId="0" applyNumberFormat="1" applyFont="1" applyBorder="1" applyAlignment="1">
      <alignment horizontal="center"/>
    </xf>
    <xf numFmtId="2" fontId="2" fillId="0" borderId="1" xfId="0" applyNumberFormat="1"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xf numFmtId="2" fontId="2" fillId="0" borderId="1" xfId="0" applyNumberFormat="1" applyFont="1" applyBorder="1"/>
    <xf numFmtId="166" fontId="2" fillId="0" borderId="1" xfId="0" applyNumberFormat="1" applyFont="1" applyBorder="1"/>
    <xf numFmtId="165" fontId="2" fillId="0" borderId="1" xfId="0" applyNumberFormat="1" applyFont="1" applyBorder="1"/>
    <xf numFmtId="0" fontId="2" fillId="0" borderId="1" xfId="0" applyFont="1" applyBorder="1" applyAlignment="1">
      <alignment horizontal="center"/>
    </xf>
    <xf numFmtId="0" fontId="5" fillId="0" borderId="1" xfId="0" applyFont="1" applyBorder="1" applyAlignment="1">
      <alignment horizontal="center"/>
    </xf>
    <xf numFmtId="0" fontId="3" fillId="0" borderId="1" xfId="0" applyFont="1" applyBorder="1" applyAlignment="1">
      <alignment horizontal="center"/>
    </xf>
    <xf numFmtId="0" fontId="5" fillId="0" borderId="1" xfId="0" applyFont="1" applyBorder="1" applyAlignment="1">
      <alignment vertical="center"/>
    </xf>
    <xf numFmtId="0" fontId="5" fillId="0" borderId="1" xfId="0" applyFont="1" applyBorder="1" applyAlignment="1">
      <alignment horizontal="left" vertical="center"/>
    </xf>
    <xf numFmtId="167" fontId="2" fillId="0" borderId="1" xfId="0" applyNumberFormat="1" applyFont="1" applyBorder="1" applyAlignment="1">
      <alignment horizontal="center"/>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2" fillId="0" borderId="1" xfId="0"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xf>
    <xf numFmtId="164" fontId="2" fillId="0" borderId="1" xfId="0" applyNumberFormat="1" applyFont="1" applyBorder="1" applyAlignment="1">
      <alignment horizontal="center"/>
    </xf>
    <xf numFmtId="0" fontId="5" fillId="2" borderId="1" xfId="0" applyFont="1" applyFill="1" applyBorder="1" applyAlignment="1">
      <alignment horizontal="center"/>
    </xf>
    <xf numFmtId="0" fontId="2" fillId="0" borderId="0" xfId="0" applyFont="1" applyAlignment="1">
      <alignment horizontal="center"/>
    </xf>
    <xf numFmtId="1" fontId="2" fillId="0" borderId="3" xfId="0" applyNumberFormat="1" applyFont="1" applyBorder="1" applyAlignment="1">
      <alignment horizontal="center"/>
    </xf>
    <xf numFmtId="1" fontId="2" fillId="0" borderId="4" xfId="0" applyNumberFormat="1" applyFont="1" applyBorder="1" applyAlignment="1">
      <alignment horizontal="center"/>
    </xf>
    <xf numFmtId="167" fontId="2" fillId="0" borderId="1" xfId="0" applyNumberFormat="1" applyFont="1" applyBorder="1" applyAlignment="1">
      <alignment horizontal="center"/>
    </xf>
    <xf numFmtId="164" fontId="2" fillId="0" borderId="3" xfId="0" applyNumberFormat="1" applyFont="1" applyBorder="1" applyAlignment="1">
      <alignment horizontal="center"/>
    </xf>
    <xf numFmtId="164" fontId="2" fillId="0" borderId="5" xfId="0" applyNumberFormat="1" applyFont="1" applyBorder="1" applyAlignment="1">
      <alignment horizontal="center"/>
    </xf>
    <xf numFmtId="164" fontId="2" fillId="0" borderId="4" xfId="0" applyNumberFormat="1" applyFont="1" applyBorder="1" applyAlignment="1">
      <alignment horizontal="center"/>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Đồ thị biểu diễn LogV theo Log[I</a:t>
            </a:r>
            <a:r>
              <a:rPr lang="vi-VN" baseline="30000"/>
              <a:t>-</a:t>
            </a:r>
            <a:r>
              <a:rPr lang="vi-VN"/>
              <a:t>]</a:t>
            </a:r>
            <a:r>
              <a:rPr lang="vi-VN" baseline="-25000"/>
              <a:t>0</a:t>
            </a:r>
            <a:endParaRPr lang="en-US" baseline="-25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manualLayout>
          <c:layoutTarget val="inner"/>
          <c:xMode val="edge"/>
          <c:yMode val="edge"/>
          <c:x val="0.15478271811475744"/>
          <c:y val="0.17585717754870273"/>
          <c:w val="0.7914282649628086"/>
          <c:h val="0.6241240640809198"/>
        </c:manualLayout>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cmpd="sng">
                <a:solidFill>
                  <a:srgbClr val="FF0000"/>
                </a:solidFill>
                <a:prstDash val="solid"/>
              </a:ln>
              <a:effectLst/>
            </c:spPr>
            <c:trendlineType val="linear"/>
            <c:dispRSqr val="0"/>
            <c:dispEq val="0"/>
          </c:trendline>
          <c:trendline>
            <c:spPr>
              <a:ln w="19050" cap="rnd">
                <a:solidFill>
                  <a:srgbClr val="FF0000"/>
                </a:solidFill>
                <a:prstDash val="sysDot"/>
              </a:ln>
              <a:effectLst/>
            </c:spPr>
            <c:trendlineType val="linear"/>
            <c:dispRSqr val="1"/>
            <c:dispEq val="1"/>
            <c:trendlineLbl>
              <c:layout>
                <c:manualLayout>
                  <c:x val="1.7111797044866744E-2"/>
                  <c:y val="0.33929736254234943"/>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vi-VN"/>
                </a:p>
              </c:txPr>
            </c:trendlineLbl>
          </c:trendline>
          <c:trendline>
            <c:spPr>
              <a:ln w="19050" cap="rnd">
                <a:solidFill>
                  <a:srgbClr val="FF0000"/>
                </a:solidFill>
                <a:prstDash val="sysDot"/>
              </a:ln>
              <a:effectLst/>
            </c:spPr>
            <c:trendlineType val="linear"/>
            <c:dispRSqr val="0"/>
            <c:dispEq val="0"/>
          </c:trendline>
          <c:trendline>
            <c:spPr>
              <a:ln w="19050" cap="rnd">
                <a:solidFill>
                  <a:srgbClr val="FF0000"/>
                </a:solidFill>
                <a:prstDash val="sysDot"/>
              </a:ln>
              <a:effectLst/>
            </c:spPr>
            <c:trendlineType val="linear"/>
            <c:dispRSqr val="0"/>
            <c:dispEq val="0"/>
          </c:trendline>
          <c:xVal>
            <c:numRef>
              <c:f>'XĐ bậc I-'!$F$5:$F$8</c:f>
              <c:numCache>
                <c:formatCode>0.00</c:formatCode>
                <c:ptCount val="4"/>
                <c:pt idx="0">
                  <c:v>-2.0644579892269186</c:v>
                </c:pt>
                <c:pt idx="1">
                  <c:v>-1.8603380065709938</c:v>
                </c:pt>
                <c:pt idx="2">
                  <c:v>-1.7634279935629373</c:v>
                </c:pt>
                <c:pt idx="3">
                  <c:v>-1.6842467475153124</c:v>
                </c:pt>
              </c:numCache>
            </c:numRef>
          </c:xVal>
          <c:yVal>
            <c:numRef>
              <c:f>'XĐ bậc I-'!$D$5:$D$8</c:f>
              <c:numCache>
                <c:formatCode>0.00</c:formatCode>
                <c:ptCount val="4"/>
                <c:pt idx="0">
                  <c:v>-4.9369638885728433</c:v>
                </c:pt>
                <c:pt idx="1">
                  <c:v>-4.6428679595581546</c:v>
                </c:pt>
                <c:pt idx="2">
                  <c:v>-4.6113706324081614</c:v>
                </c:pt>
                <c:pt idx="3">
                  <c:v>-4.5036327290703868</c:v>
                </c:pt>
              </c:numCache>
            </c:numRef>
          </c:yVal>
          <c:smooth val="0"/>
          <c:extLst>
            <c:ext xmlns:c16="http://schemas.microsoft.com/office/drawing/2014/chart" uri="{C3380CC4-5D6E-409C-BE32-E72D297353CC}">
              <c16:uniqueId val="{00000000-9793-477E-BB6A-6C21156076F8}"/>
            </c:ext>
          </c:extLst>
        </c:ser>
        <c:dLbls>
          <c:showLegendKey val="0"/>
          <c:showVal val="0"/>
          <c:showCatName val="0"/>
          <c:showSerName val="0"/>
          <c:showPercent val="0"/>
          <c:showBubbleSize val="0"/>
        </c:dLbls>
        <c:axId val="832557136"/>
        <c:axId val="832562176"/>
      </c:scatterChart>
      <c:valAx>
        <c:axId val="832557136"/>
        <c:scaling>
          <c:orientation val="minMax"/>
          <c:max val="-1.6500000000000001"/>
          <c:min val="-2.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Log[I</a:t>
                </a:r>
                <a:r>
                  <a:rPr lang="vi-VN" baseline="30000"/>
                  <a:t>-</a:t>
                </a:r>
                <a:r>
                  <a:rPr lang="vi-VN"/>
                  <a:t>]</a:t>
                </a:r>
                <a:r>
                  <a:rPr lang="vi-VN" baseline="-25000"/>
                  <a:t>0</a:t>
                </a:r>
                <a:endParaRPr lang="en-US" baseline="-250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 sourceLinked="1"/>
        <c:majorTickMark val="in"/>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32562176"/>
        <c:crosses val="autoZero"/>
        <c:crossBetween val="midCat"/>
      </c:valAx>
      <c:valAx>
        <c:axId val="83256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LogV</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 sourceLinked="1"/>
        <c:majorTickMark val="in"/>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325571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Đồ thị biễu diễn LogV theo Log[H</a:t>
            </a:r>
            <a:r>
              <a:rPr lang="vi-VN" baseline="-25000"/>
              <a:t>2</a:t>
            </a:r>
            <a:r>
              <a:rPr lang="vi-VN"/>
              <a:t>O</a:t>
            </a:r>
            <a:r>
              <a:rPr lang="vi-VN" baseline="-25000"/>
              <a:t>2</a:t>
            </a:r>
            <a:r>
              <a:rPr lang="vi-VN"/>
              <a:t>]</a:t>
            </a:r>
            <a:r>
              <a:rPr lang="vi-VN" baseline="-25000"/>
              <a:t>0</a:t>
            </a:r>
            <a:endParaRPr lang="en-US" baseline="-25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scatterChart>
        <c:scatterStyle val="lineMarker"/>
        <c:varyColors val="0"/>
        <c:ser>
          <c:idx val="0"/>
          <c:order val="0"/>
          <c:spPr>
            <a:ln w="25400" cap="rnd">
              <a:noFill/>
              <a:round/>
            </a:ln>
            <a:effectLst/>
          </c:spPr>
          <c:marker>
            <c:symbol val="circle"/>
            <c:size val="5"/>
            <c:spPr>
              <a:solidFill>
                <a:schemeClr val="tx1"/>
              </a:solidFill>
              <a:ln w="9525">
                <a:solidFill>
                  <a:schemeClr val="tx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trendline>
            <c:spPr>
              <a:ln w="19050" cap="rnd">
                <a:solidFill>
                  <a:srgbClr val="FF0000"/>
                </a:solidFill>
                <a:prstDash val="sysDot"/>
              </a:ln>
              <a:effectLst/>
            </c:spPr>
            <c:trendlineType val="linear"/>
            <c:dispRSqr val="1"/>
            <c:dispEq val="1"/>
            <c:trendlineLbl>
              <c:layout>
                <c:manualLayout>
                  <c:x val="2.5456587462466325E-2"/>
                  <c:y val="0.32665982367262419"/>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vi-VN"/>
                </a:p>
              </c:txPr>
            </c:trendlineLbl>
          </c:trendline>
          <c:xVal>
            <c:numRef>
              <c:f>'XĐ bậc H2O2'!$F$5:$F$8</c:f>
              <c:numCache>
                <c:formatCode>0.00</c:formatCode>
                <c:ptCount val="4"/>
                <c:pt idx="0">
                  <c:v>-1.5593080109070125</c:v>
                </c:pt>
                <c:pt idx="1">
                  <c:v>-1.2582780152430313</c:v>
                </c:pt>
                <c:pt idx="2">
                  <c:v>-1.0821867561873502</c:v>
                </c:pt>
                <c:pt idx="3">
                  <c:v>-0.95724801957905015</c:v>
                </c:pt>
              </c:numCache>
            </c:numRef>
          </c:xVal>
          <c:yVal>
            <c:numRef>
              <c:f>'XĐ bậc H2O2'!$D$5:$D$8</c:f>
              <c:numCache>
                <c:formatCode>0.00</c:formatCode>
                <c:ptCount val="4"/>
                <c:pt idx="0">
                  <c:v>-5.2980378459059345</c:v>
                </c:pt>
                <c:pt idx="1">
                  <c:v>-4.9369638885728433</c:v>
                </c:pt>
                <c:pt idx="2">
                  <c:v>-4.7721984435006899</c:v>
                </c:pt>
                <c:pt idx="3">
                  <c:v>-4.5829719291048061</c:v>
                </c:pt>
              </c:numCache>
            </c:numRef>
          </c:yVal>
          <c:smooth val="0"/>
          <c:extLst>
            <c:ext xmlns:c16="http://schemas.microsoft.com/office/drawing/2014/chart" uri="{C3380CC4-5D6E-409C-BE32-E72D297353CC}">
              <c16:uniqueId val="{00000000-E840-4AAA-BD6B-B9856C2AD631}"/>
            </c:ext>
          </c:extLst>
        </c:ser>
        <c:dLbls>
          <c:showLegendKey val="0"/>
          <c:showVal val="0"/>
          <c:showCatName val="0"/>
          <c:showSerName val="0"/>
          <c:showPercent val="0"/>
          <c:showBubbleSize val="0"/>
        </c:dLbls>
        <c:axId val="505062896"/>
        <c:axId val="505061816"/>
      </c:scatterChart>
      <c:valAx>
        <c:axId val="505062896"/>
        <c:scaling>
          <c:orientation val="minMax"/>
          <c:max val="-0.9"/>
          <c:min val="-1.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Log[H</a:t>
                </a:r>
                <a:r>
                  <a:rPr lang="vi-VN" baseline="-25000"/>
                  <a:t>2</a:t>
                </a:r>
                <a:r>
                  <a:rPr lang="vi-VN"/>
                  <a:t>O</a:t>
                </a:r>
                <a:r>
                  <a:rPr lang="vi-VN" baseline="-25000"/>
                  <a:t>2</a:t>
                </a:r>
                <a:r>
                  <a:rPr lang="vi-VN"/>
                  <a:t>]</a:t>
                </a:r>
                <a:r>
                  <a:rPr lang="vi-VN" baseline="-25000"/>
                  <a:t>0</a:t>
                </a:r>
                <a:endParaRPr lang="en-US" baseline="-250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 sourceLinked="1"/>
        <c:majorTickMark val="in"/>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505061816"/>
        <c:crosses val="autoZero"/>
        <c:crossBetween val="midCat"/>
      </c:valAx>
      <c:valAx>
        <c:axId val="505061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LogV</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 sourceLinked="1"/>
        <c:majorTickMark val="in"/>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505062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Đồ thị biễu diễn Lnk' theo 1/T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scatterChart>
        <c:scatterStyle val="lineMarker"/>
        <c:varyColors val="0"/>
        <c:ser>
          <c:idx val="0"/>
          <c:order val="0"/>
          <c:spPr>
            <a:ln w="38100" cap="rnd">
              <a:noFill/>
              <a:round/>
            </a:ln>
            <a:effectLst/>
          </c:spPr>
          <c:marker>
            <c:symbol val="circle"/>
            <c:size val="5"/>
            <c:spPr>
              <a:solidFill>
                <a:schemeClr val="tx1"/>
              </a:solidFill>
              <a:ln w="9525">
                <a:solidFill>
                  <a:schemeClr val="tx1"/>
                </a:solidFill>
              </a:ln>
              <a:effectLst/>
            </c:spPr>
          </c:marker>
          <c:trendline>
            <c:spPr>
              <a:ln w="19050" cap="rnd">
                <a:solidFill>
                  <a:srgbClr val="FF0000"/>
                </a:solidFill>
                <a:prstDash val="solid"/>
              </a:ln>
              <a:effectLst/>
            </c:spPr>
            <c:trendlineType val="linear"/>
            <c:dispRSqr val="0"/>
            <c:dispEq val="0"/>
          </c:trendline>
          <c:trendline>
            <c:spPr>
              <a:ln w="19050" cap="rnd">
                <a:solidFill>
                  <a:srgbClr val="FF0000"/>
                </a:solidFill>
                <a:prstDash val="sysDot"/>
              </a:ln>
              <a:effectLst/>
            </c:spPr>
            <c:trendlineType val="linear"/>
            <c:dispRSqr val="1"/>
            <c:dispEq val="1"/>
            <c:trendlineLbl>
              <c:layout>
                <c:manualLayout>
                  <c:x val="4.3519800660811112E-2"/>
                  <c:y val="-0.58068203657382622"/>
                </c:manualLayout>
              </c:layout>
              <c:numFmt formatCode="General" sourceLinked="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vi-VN"/>
                </a:p>
              </c:txPr>
            </c:trendlineLbl>
          </c:trendline>
          <c:trendline>
            <c:spPr>
              <a:ln w="19050" cap="rnd">
                <a:solidFill>
                  <a:srgbClr val="FF0000"/>
                </a:solidFill>
                <a:prstDash val="sysDot"/>
              </a:ln>
              <a:effectLst/>
            </c:spPr>
            <c:trendlineType val="linear"/>
            <c:dispRSqr val="0"/>
            <c:dispEq val="0"/>
          </c:trendline>
          <c:xVal>
            <c:numRef>
              <c:f>'Ảnh hưởng của nhiệt độ'!$D$7:$D$9</c:f>
              <c:numCache>
                <c:formatCode>0.000E+00</c:formatCode>
                <c:ptCount val="3"/>
                <c:pt idx="0">
                  <c:v>3.4112229234180458E-3</c:v>
                </c:pt>
                <c:pt idx="1">
                  <c:v>3.2862306933946761E-3</c:v>
                </c:pt>
                <c:pt idx="2">
                  <c:v>3.194377894904967E-3</c:v>
                </c:pt>
              </c:numCache>
            </c:numRef>
          </c:xVal>
          <c:yVal>
            <c:numRef>
              <c:f>'Ảnh hưởng của nhiệt độ'!$F$7:$F$9</c:f>
              <c:numCache>
                <c:formatCode>0.00</c:formatCode>
                <c:ptCount val="3"/>
                <c:pt idx="0">
                  <c:v>-4.517160191423609</c:v>
                </c:pt>
                <c:pt idx="1">
                  <c:v>-3.7168970626306432</c:v>
                </c:pt>
                <c:pt idx="2">
                  <c:v>-3.1894825261715685</c:v>
                </c:pt>
              </c:numCache>
            </c:numRef>
          </c:yVal>
          <c:smooth val="0"/>
          <c:extLst>
            <c:ext xmlns:c16="http://schemas.microsoft.com/office/drawing/2014/chart" uri="{C3380CC4-5D6E-409C-BE32-E72D297353CC}">
              <c16:uniqueId val="{00000000-D42B-4B91-92F8-B4127F6BAB4E}"/>
            </c:ext>
          </c:extLst>
        </c:ser>
        <c:dLbls>
          <c:showLegendKey val="0"/>
          <c:showVal val="0"/>
          <c:showCatName val="0"/>
          <c:showSerName val="0"/>
          <c:showPercent val="0"/>
          <c:showBubbleSize val="0"/>
        </c:dLbls>
        <c:axId val="825048744"/>
        <c:axId val="825057024"/>
      </c:scatterChart>
      <c:valAx>
        <c:axId val="825048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1/T (K</a:t>
                </a:r>
                <a:r>
                  <a:rPr lang="vi-VN" baseline="30000"/>
                  <a:t>-1</a:t>
                </a:r>
                <a:r>
                  <a:rPr lang="vi-VN"/>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0E+00" sourceLinked="1"/>
        <c:majorTickMark val="in"/>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25057024"/>
        <c:crosses val="autoZero"/>
        <c:crossBetween val="midCat"/>
      </c:valAx>
      <c:valAx>
        <c:axId val="825057024"/>
        <c:scaling>
          <c:orientation val="minMax"/>
          <c:max val="-3.1"/>
          <c:min val="-4.599999999999999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Lnk'</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0.00"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825048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107037</xdr:colOff>
      <xdr:row>9</xdr:row>
      <xdr:rowOff>200322</xdr:rowOff>
    </xdr:from>
    <xdr:to>
      <xdr:col>5</xdr:col>
      <xdr:colOff>642113</xdr:colOff>
      <xdr:row>23</xdr:row>
      <xdr:rowOff>39562</xdr:rowOff>
    </xdr:to>
    <xdr:graphicFrame macro="">
      <xdr:nvGraphicFramePr>
        <xdr:cNvPr id="2" name="Chart 1">
          <a:extLst>
            <a:ext uri="{FF2B5EF4-FFF2-40B4-BE49-F238E27FC236}">
              <a16:creationId xmlns:a16="http://schemas.microsoft.com/office/drawing/2014/main" id="{9170F2B6-D856-D458-6D90-71B2BC0BB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116204</xdr:colOff>
      <xdr:row>10</xdr:row>
      <xdr:rowOff>10315</xdr:rowOff>
    </xdr:from>
    <xdr:to>
      <xdr:col>5</xdr:col>
      <xdr:colOff>911438</xdr:colOff>
      <xdr:row>26</xdr:row>
      <xdr:rowOff>28426</xdr:rowOff>
    </xdr:to>
    <xdr:graphicFrame macro="">
      <xdr:nvGraphicFramePr>
        <xdr:cNvPr id="2" name="Chart 1">
          <a:extLst>
            <a:ext uri="{FF2B5EF4-FFF2-40B4-BE49-F238E27FC236}">
              <a16:creationId xmlns:a16="http://schemas.microsoft.com/office/drawing/2014/main" id="{3414E9B2-2CB4-5FC4-2328-C24BE8779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96730</xdr:colOff>
      <xdr:row>10</xdr:row>
      <xdr:rowOff>76200</xdr:rowOff>
    </xdr:from>
    <xdr:to>
      <xdr:col>5</xdr:col>
      <xdr:colOff>648275</xdr:colOff>
      <xdr:row>26</xdr:row>
      <xdr:rowOff>152399</xdr:rowOff>
    </xdr:to>
    <xdr:graphicFrame macro="">
      <xdr:nvGraphicFramePr>
        <xdr:cNvPr id="2" name="Chart 1">
          <a:extLst>
            <a:ext uri="{FF2B5EF4-FFF2-40B4-BE49-F238E27FC236}">
              <a16:creationId xmlns:a16="http://schemas.microsoft.com/office/drawing/2014/main" id="{28262C17-2C50-FE5D-9DD9-9996D9578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232786</xdr:colOff>
      <xdr:row>1</xdr:row>
      <xdr:rowOff>6281</xdr:rowOff>
    </xdr:from>
    <xdr:to>
      <xdr:col>15</xdr:col>
      <xdr:colOff>292657</xdr:colOff>
      <xdr:row>17</xdr:row>
      <xdr:rowOff>8373</xdr:rowOff>
    </xdr:to>
    <xdr:sp macro="" textlink="">
      <xdr:nvSpPr>
        <xdr:cNvPr id="2" name="TextBox 1">
          <a:extLst>
            <a:ext uri="{FF2B5EF4-FFF2-40B4-BE49-F238E27FC236}">
              <a16:creationId xmlns:a16="http://schemas.microsoft.com/office/drawing/2014/main" id="{6B559331-A72A-26E2-5D1B-2E287A548CD0}"/>
            </a:ext>
          </a:extLst>
        </xdr:cNvPr>
        <xdr:cNvSpPr txBox="1"/>
      </xdr:nvSpPr>
      <xdr:spPr>
        <a:xfrm>
          <a:off x="232786" y="190501"/>
          <a:ext cx="9857014" cy="2949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300" b="1">
              <a:latin typeface="Times New Roman" panose="02020603050405020304" pitchFamily="18" charset="0"/>
              <a:cs typeface="Times New Roman" panose="02020603050405020304" pitchFamily="18" charset="0"/>
            </a:rPr>
            <a:t>Câu 1:</a:t>
          </a:r>
        </a:p>
        <a:p>
          <a:r>
            <a:rPr lang="vi-VN" sz="1300" b="1">
              <a:latin typeface="Times New Roman" panose="02020603050405020304" pitchFamily="18" charset="0"/>
              <a:cs typeface="Times New Roman" panose="02020603050405020304" pitchFamily="18" charset="0"/>
            </a:rPr>
            <a:t>a.</a:t>
          </a:r>
          <a:r>
            <a:rPr lang="vi-VN" sz="1300">
              <a:latin typeface="Times New Roman" panose="02020603050405020304" pitchFamily="18" charset="0"/>
              <a:cs typeface="Times New Roman" panose="02020603050405020304" pitchFamily="18" charset="0"/>
            </a:rPr>
            <a:t> Nếu sinh viên quên không cho 20 mL nước khử ion, thì thời gian phản ứng có thể tăng lên do giảm tổng thể tích của hỗn hợp dung dịch phản ứng, dẫn đến giảm nồng độ của các chất tham gia và làm chậm quá trình phản ứng.</a:t>
          </a:r>
        </a:p>
        <a:p>
          <a:r>
            <a:rPr lang="vi-VN" sz="1300" b="1">
              <a:latin typeface="Times New Roman" panose="02020603050405020304" pitchFamily="18" charset="0"/>
              <a:cs typeface="Times New Roman" panose="02020603050405020304" pitchFamily="18" charset="0"/>
            </a:rPr>
            <a:t>b.</a:t>
          </a:r>
          <a:r>
            <a:rPr lang="vi-VN" sz="1300">
              <a:latin typeface="Times New Roman" panose="02020603050405020304" pitchFamily="18" charset="0"/>
              <a:cs typeface="Times New Roman" panose="02020603050405020304" pitchFamily="18" charset="0"/>
            </a:rPr>
            <a:t> Na</a:t>
          </a:r>
          <a:r>
            <a:rPr lang="vi-VN" sz="1300" baseline="-25000">
              <a:latin typeface="Times New Roman" panose="02020603050405020304" pitchFamily="18" charset="0"/>
              <a:cs typeface="Times New Roman" panose="02020603050405020304" pitchFamily="18" charset="0"/>
            </a:rPr>
            <a:t>2</a:t>
          </a:r>
          <a:r>
            <a:rPr lang="vi-VN" sz="1300">
              <a:latin typeface="Times New Roman" panose="02020603050405020304" pitchFamily="18" charset="0"/>
              <a:cs typeface="Times New Roman" panose="02020603050405020304" pitchFamily="18" charset="0"/>
            </a:rPr>
            <a:t>S</a:t>
          </a:r>
          <a:r>
            <a:rPr lang="vi-VN" sz="1300" baseline="-25000">
              <a:latin typeface="Times New Roman" panose="02020603050405020304" pitchFamily="18" charset="0"/>
              <a:cs typeface="Times New Roman" panose="02020603050405020304" pitchFamily="18" charset="0"/>
            </a:rPr>
            <a:t>2</a:t>
          </a:r>
          <a:r>
            <a:rPr lang="vi-VN" sz="130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3</a:t>
          </a:r>
          <a:r>
            <a:rPr lang="vi-VN" sz="1300">
              <a:latin typeface="Times New Roman" panose="02020603050405020304" pitchFamily="18" charset="0"/>
              <a:cs typeface="Times New Roman" panose="02020603050405020304" pitchFamily="18" charset="0"/>
            </a:rPr>
            <a:t> hoạt động như chất xúc tác trong phản ứng, giúp phản ứng diễn ra nhanh hơn. Nếu sinh viên quên không cho Na</a:t>
          </a:r>
          <a:r>
            <a:rPr lang="vi-VN" sz="1300" baseline="-25000">
              <a:latin typeface="Times New Roman" panose="02020603050405020304" pitchFamily="18" charset="0"/>
              <a:cs typeface="Times New Roman" panose="02020603050405020304" pitchFamily="18" charset="0"/>
            </a:rPr>
            <a:t>2</a:t>
          </a:r>
          <a:r>
            <a:rPr lang="vi-VN" sz="1300">
              <a:latin typeface="Times New Roman" panose="02020603050405020304" pitchFamily="18" charset="0"/>
              <a:cs typeface="Times New Roman" panose="02020603050405020304" pitchFamily="18" charset="0"/>
            </a:rPr>
            <a:t>S</a:t>
          </a:r>
          <a:r>
            <a:rPr lang="vi-VN" sz="1300" baseline="-25000">
              <a:latin typeface="Times New Roman" panose="02020603050405020304" pitchFamily="18" charset="0"/>
              <a:cs typeface="Times New Roman" panose="02020603050405020304" pitchFamily="18" charset="0"/>
            </a:rPr>
            <a:t>2</a:t>
          </a:r>
          <a:r>
            <a:rPr lang="vi-VN" sz="130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3</a:t>
          </a:r>
          <a:r>
            <a:rPr lang="vi-VN" sz="1300">
              <a:latin typeface="Times New Roman" panose="02020603050405020304" pitchFamily="18" charset="0"/>
              <a:cs typeface="Times New Roman" panose="02020603050405020304" pitchFamily="18" charset="0"/>
            </a:rPr>
            <a:t> vào hệ phản ứng thì tốc độ phản ứng sẽ giảm, do đó kết quả của thời gian phản ứng sẽ tăng lên.</a:t>
          </a:r>
        </a:p>
        <a:p>
          <a:r>
            <a:rPr lang="vi-VN" sz="1300" b="1">
              <a:latin typeface="Times New Roman" panose="02020603050405020304" pitchFamily="18" charset="0"/>
              <a:cs typeface="Times New Roman" panose="02020603050405020304" pitchFamily="18" charset="0"/>
            </a:rPr>
            <a:t>c.</a:t>
          </a:r>
          <a:r>
            <a:rPr lang="vi-VN" sz="1300">
              <a:latin typeface="Times New Roman" panose="02020603050405020304" pitchFamily="18" charset="0"/>
              <a:cs typeface="Times New Roman" panose="02020603050405020304" pitchFamily="18" charset="0"/>
            </a:rPr>
            <a:t> Hồ tinh bột được sử dụng như chất chỉ thị để quan sát sự chuyển đổi màu của dung dịch từ không màu sang màu xanh. Nếu sinh viên quên không thêm hồ tinh bột vào hệ phản ứng, việc này sẽ không</a:t>
          </a:r>
          <a:r>
            <a:rPr lang="vi-VN" sz="1300" baseline="0">
              <a:latin typeface="Times New Roman" panose="02020603050405020304" pitchFamily="18" charset="0"/>
              <a:cs typeface="Times New Roman" panose="02020603050405020304" pitchFamily="18" charset="0"/>
            </a:rPr>
            <a:t> ảnh</a:t>
          </a:r>
          <a:r>
            <a:rPr lang="vi-VN" sz="1300">
              <a:latin typeface="Times New Roman" panose="02020603050405020304" pitchFamily="18" charset="0"/>
              <a:cs typeface="Times New Roman" panose="02020603050405020304" pitchFamily="18" charset="0"/>
            </a:rPr>
            <a:t> hưởng đến tốc độ phản ứng nhưng sẽ ảnh hưởng đến khả năng quan sát</a:t>
          </a:r>
          <a:r>
            <a:rPr lang="vi-VN" sz="1300" baseline="0">
              <a:latin typeface="Times New Roman" panose="02020603050405020304" pitchFamily="18" charset="0"/>
              <a:cs typeface="Times New Roman" panose="02020603050405020304" pitchFamily="18" charset="0"/>
            </a:rPr>
            <a:t> và đánh giá kết quả của phản ứng, do đó việc đánh giá thời gian phản ứng sẽ trở nên khó khăn hoặc không chính xác.</a:t>
          </a:r>
        </a:p>
        <a:p>
          <a:r>
            <a:rPr lang="vi-VN" sz="1300" b="1" baseline="0">
              <a:latin typeface="Times New Roman" panose="02020603050405020304" pitchFamily="18" charset="0"/>
              <a:cs typeface="Times New Roman" panose="02020603050405020304" pitchFamily="18" charset="0"/>
            </a:rPr>
            <a:t>Câu 2:</a:t>
          </a:r>
        </a:p>
        <a:p>
          <a:r>
            <a:rPr lang="vi-VN" sz="1300" b="1" baseline="0">
              <a:latin typeface="Times New Roman" panose="02020603050405020304" pitchFamily="18" charset="0"/>
              <a:cs typeface="Times New Roman" panose="02020603050405020304" pitchFamily="18" charset="0"/>
            </a:rPr>
            <a:t>a.</a:t>
          </a:r>
          <a:r>
            <a:rPr lang="vi-VN" sz="1300" baseline="0">
              <a:latin typeface="Times New Roman" panose="02020603050405020304" pitchFamily="18" charset="0"/>
              <a:cs typeface="Times New Roman" panose="02020603050405020304" pitchFamily="18" charset="0"/>
            </a:rPr>
            <a:t> Tăng nồng độ dung dịch H</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sẽ làm tăng số lượng phân tử H</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có mặt trong hệ phản ứng, làm tăng tốc độ phản ứng. Điều này xảy ra vì các phân tử H</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nhiều hơn sẽ tăng cơ hội va chạm với các phân tử I</a:t>
          </a:r>
          <a:r>
            <a:rPr lang="vi-VN" sz="1300" baseline="30000">
              <a:latin typeface="Times New Roman" panose="02020603050405020304" pitchFamily="18" charset="0"/>
              <a:cs typeface="Times New Roman" panose="02020603050405020304" pitchFamily="18" charset="0"/>
            </a:rPr>
            <a:t>-</a:t>
          </a:r>
          <a:r>
            <a:rPr lang="vi-VN" sz="1300" baseline="0">
              <a:latin typeface="Times New Roman" panose="02020603050405020304" pitchFamily="18" charset="0"/>
              <a:cs typeface="Times New Roman" panose="02020603050405020304" pitchFamily="18" charset="0"/>
            </a:rPr>
            <a:t> và tăng tốc độ phản ứng.</a:t>
          </a:r>
        </a:p>
        <a:p>
          <a:r>
            <a:rPr lang="vi-VN" sz="1300" b="1" baseline="0">
              <a:latin typeface="Times New Roman" panose="02020603050405020304" pitchFamily="18" charset="0"/>
              <a:cs typeface="Times New Roman" panose="02020603050405020304" pitchFamily="18" charset="0"/>
            </a:rPr>
            <a:t>b. </a:t>
          </a:r>
          <a:r>
            <a:rPr lang="vi-VN" sz="1300" baseline="0">
              <a:latin typeface="Times New Roman" panose="02020603050405020304" pitchFamily="18" charset="0"/>
              <a:cs typeface="Times New Roman" panose="02020603050405020304" pitchFamily="18" charset="0"/>
            </a:rPr>
            <a:t>Tăng nồng độ Na</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S</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3</a:t>
          </a:r>
          <a:r>
            <a:rPr lang="vi-VN" sz="1300" baseline="0">
              <a:latin typeface="Times New Roman" panose="02020603050405020304" pitchFamily="18" charset="0"/>
              <a:cs typeface="Times New Roman" panose="02020603050405020304" pitchFamily="18" charset="0"/>
            </a:rPr>
            <a:t> sẽ cung cấp nhiều phân tử S</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3</a:t>
          </a:r>
          <a:r>
            <a:rPr lang="vi-VN" sz="1300" baseline="30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hơn, tăng khả năng tạo các phức chất giữa S</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O</a:t>
          </a:r>
          <a:r>
            <a:rPr lang="vi-VN" sz="1300" baseline="-25000">
              <a:latin typeface="Times New Roman" panose="02020603050405020304" pitchFamily="18" charset="0"/>
              <a:cs typeface="Times New Roman" panose="02020603050405020304" pitchFamily="18" charset="0"/>
            </a:rPr>
            <a:t>3</a:t>
          </a:r>
          <a:r>
            <a:rPr lang="vi-VN" sz="1300" baseline="30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và I</a:t>
          </a:r>
          <a:r>
            <a:rPr lang="vi-VN" sz="1300" baseline="-25000">
              <a:latin typeface="Times New Roman" panose="02020603050405020304" pitchFamily="18" charset="0"/>
              <a:cs typeface="Times New Roman" panose="02020603050405020304" pitchFamily="18" charset="0"/>
            </a:rPr>
            <a:t>2</a:t>
          </a:r>
          <a:r>
            <a:rPr lang="vi-VN" sz="1300" baseline="0">
              <a:latin typeface="Times New Roman" panose="02020603050405020304" pitchFamily="18" charset="0"/>
              <a:cs typeface="Times New Roman" panose="02020603050405020304" pitchFamily="18" charset="0"/>
            </a:rPr>
            <a:t>, giúp tăng tốc độ phản ứng.</a:t>
          </a:r>
        </a:p>
        <a:p>
          <a:r>
            <a:rPr lang="vi-VN" sz="1300" b="1" baseline="0">
              <a:latin typeface="Times New Roman" panose="02020603050405020304" pitchFamily="18" charset="0"/>
              <a:cs typeface="Times New Roman" panose="02020603050405020304" pitchFamily="18" charset="0"/>
            </a:rPr>
            <a:t>c.</a:t>
          </a:r>
          <a:r>
            <a:rPr lang="vi-VN" sz="1300" baseline="0">
              <a:latin typeface="Times New Roman" panose="02020603050405020304" pitchFamily="18" charset="0"/>
              <a:cs typeface="Times New Roman" panose="02020603050405020304" pitchFamily="18" charset="0"/>
            </a:rPr>
            <a:t> Tăng thể tích nước trong dung dịch mà không thay đổi nồng độ các chất tham gia khác, thì điều này sẽ làm giảm nồng độ các chất tham gia, việc giảm nồng độ này có thể làm giảm tốc độ phản ứng.</a:t>
          </a:r>
          <a:endParaRPr lang="en-US" sz="13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219FD-DDFD-49F8-90C3-511F374C0867}">
  <dimension ref="A1:L31"/>
  <sheetViews>
    <sheetView zoomScale="63" zoomScaleNormal="63" workbookViewId="0">
      <selection activeCell="E31" sqref="E31"/>
    </sheetView>
  </sheetViews>
  <sheetFormatPr defaultColWidth="9.19921875" defaultRowHeight="16.8" x14ac:dyDescent="0.3"/>
  <cols>
    <col min="1" max="1" width="25" style="1" customWidth="1"/>
    <col min="2" max="2" width="12" style="1" customWidth="1"/>
    <col min="3" max="3" width="17.796875" style="1" customWidth="1"/>
    <col min="4" max="4" width="12" style="1" customWidth="1"/>
    <col min="5" max="5" width="9.19921875" style="1" customWidth="1"/>
    <col min="6" max="6" width="14.09765625" style="1" customWidth="1"/>
    <col min="7" max="11" width="9.19921875" style="1"/>
    <col min="12" max="12" width="8.5" style="1" customWidth="1"/>
    <col min="13" max="16384" width="9.19921875" style="1"/>
  </cols>
  <sheetData>
    <row r="1" spans="1:12" x14ac:dyDescent="0.3">
      <c r="A1" s="2" t="s">
        <v>0</v>
      </c>
      <c r="B1" s="3" t="s">
        <v>1</v>
      </c>
      <c r="C1" s="3" t="s">
        <v>2</v>
      </c>
    </row>
    <row r="2" spans="1:12" x14ac:dyDescent="0.3">
      <c r="A2" s="2" t="s">
        <v>3</v>
      </c>
      <c r="B2" s="3">
        <v>23140059</v>
      </c>
      <c r="C2" s="25" t="s">
        <v>5</v>
      </c>
    </row>
    <row r="3" spans="1:12" x14ac:dyDescent="0.3">
      <c r="A3" s="2" t="s">
        <v>4</v>
      </c>
      <c r="B3" s="3">
        <v>23140081</v>
      </c>
      <c r="C3" s="25"/>
    </row>
    <row r="6" spans="1:12" x14ac:dyDescent="0.3">
      <c r="A6" s="26" t="s">
        <v>29</v>
      </c>
      <c r="B6" s="26"/>
      <c r="C6" s="26"/>
      <c r="D6" s="26"/>
      <c r="E6" s="26"/>
      <c r="F6" s="26"/>
      <c r="G6" s="26"/>
      <c r="H6" s="26"/>
      <c r="I6" s="26"/>
      <c r="J6" s="26"/>
      <c r="K6" s="26"/>
      <c r="L6" s="26"/>
    </row>
    <row r="7" spans="1:12" ht="37.35" customHeight="1" x14ac:dyDescent="0.3">
      <c r="A7" s="24" t="s">
        <v>6</v>
      </c>
      <c r="B7" s="24" t="s">
        <v>10</v>
      </c>
      <c r="C7" s="24" t="s">
        <v>11</v>
      </c>
      <c r="D7" s="24" t="s">
        <v>7</v>
      </c>
      <c r="E7" s="24" t="s">
        <v>12</v>
      </c>
      <c r="F7" s="24" t="s">
        <v>8</v>
      </c>
      <c r="G7" s="24" t="s">
        <v>13</v>
      </c>
      <c r="H7" s="24" t="s">
        <v>9</v>
      </c>
      <c r="I7" s="24" t="s">
        <v>14</v>
      </c>
      <c r="J7" s="24" t="s">
        <v>15</v>
      </c>
      <c r="K7" s="24"/>
      <c r="L7" s="24" t="s">
        <v>16</v>
      </c>
    </row>
    <row r="8" spans="1:12" ht="21" customHeight="1" x14ac:dyDescent="0.3">
      <c r="A8" s="24"/>
      <c r="B8" s="24"/>
      <c r="C8" s="24"/>
      <c r="D8" s="24"/>
      <c r="E8" s="24"/>
      <c r="F8" s="24"/>
      <c r="G8" s="24"/>
      <c r="H8" s="24"/>
      <c r="I8" s="24"/>
      <c r="J8" s="4" t="s">
        <v>17</v>
      </c>
      <c r="K8" s="4" t="s">
        <v>18</v>
      </c>
      <c r="L8" s="24"/>
    </row>
    <row r="9" spans="1:12" x14ac:dyDescent="0.3">
      <c r="A9" s="20" t="s">
        <v>19</v>
      </c>
      <c r="B9" s="6" t="s">
        <v>20</v>
      </c>
      <c r="C9" s="5">
        <v>40</v>
      </c>
      <c r="D9" s="5">
        <v>15</v>
      </c>
      <c r="E9" s="5">
        <v>12.5</v>
      </c>
      <c r="F9" s="6">
        <v>3</v>
      </c>
      <c r="G9" s="6">
        <v>2.5</v>
      </c>
      <c r="H9" s="6">
        <v>0</v>
      </c>
      <c r="I9" s="5">
        <v>2.5</v>
      </c>
      <c r="J9" s="5">
        <v>31.2</v>
      </c>
      <c r="K9" s="5">
        <v>31.1</v>
      </c>
      <c r="L9" s="7">
        <v>171.23</v>
      </c>
    </row>
    <row r="10" spans="1:12" x14ac:dyDescent="0.3">
      <c r="A10" s="20" t="s">
        <v>21</v>
      </c>
      <c r="B10" s="6" t="s">
        <v>20</v>
      </c>
      <c r="C10" s="5">
        <v>37.5</v>
      </c>
      <c r="D10" s="5">
        <v>15</v>
      </c>
      <c r="E10" s="5">
        <v>12.5</v>
      </c>
      <c r="F10" s="6">
        <v>3</v>
      </c>
      <c r="G10" s="6">
        <v>2.5</v>
      </c>
      <c r="H10" s="6">
        <v>0</v>
      </c>
      <c r="I10" s="5">
        <v>5</v>
      </c>
      <c r="J10" s="5">
        <v>31.1</v>
      </c>
      <c r="K10" s="5">
        <v>31.5</v>
      </c>
      <c r="L10" s="7">
        <v>74.56</v>
      </c>
    </row>
    <row r="11" spans="1:12" x14ac:dyDescent="0.3">
      <c r="A11" s="20" t="s">
        <v>22</v>
      </c>
      <c r="B11" s="6" t="s">
        <v>20</v>
      </c>
      <c r="C11" s="5">
        <v>35</v>
      </c>
      <c r="D11" s="5">
        <v>15</v>
      </c>
      <c r="E11" s="5">
        <v>12.5</v>
      </c>
      <c r="F11" s="6">
        <v>3</v>
      </c>
      <c r="G11" s="6">
        <v>2.5</v>
      </c>
      <c r="H11" s="6">
        <v>0</v>
      </c>
      <c r="I11" s="5">
        <v>7.5</v>
      </c>
      <c r="J11" s="5">
        <v>31.4</v>
      </c>
      <c r="K11" s="5">
        <v>31.8</v>
      </c>
      <c r="L11" s="7">
        <v>51.02</v>
      </c>
    </row>
    <row r="12" spans="1:12" x14ac:dyDescent="0.3">
      <c r="A12" s="20" t="s">
        <v>23</v>
      </c>
      <c r="B12" s="6" t="s">
        <v>20</v>
      </c>
      <c r="C12" s="5">
        <v>32.5</v>
      </c>
      <c r="D12" s="5">
        <v>15</v>
      </c>
      <c r="E12" s="5">
        <v>12.5</v>
      </c>
      <c r="F12" s="6">
        <v>3</v>
      </c>
      <c r="G12" s="6">
        <v>2.5</v>
      </c>
      <c r="H12" s="6">
        <v>0</v>
      </c>
      <c r="I12" s="5">
        <v>10</v>
      </c>
      <c r="J12" s="5">
        <v>31.4</v>
      </c>
      <c r="K12" s="5">
        <v>31</v>
      </c>
      <c r="L12" s="7">
        <v>33</v>
      </c>
    </row>
    <row r="13" spans="1:12" x14ac:dyDescent="0.3">
      <c r="A13" s="20" t="s">
        <v>24</v>
      </c>
      <c r="B13" s="6" t="s">
        <v>20</v>
      </c>
      <c r="C13" s="5">
        <v>30</v>
      </c>
      <c r="D13" s="5">
        <v>15</v>
      </c>
      <c r="E13" s="5">
        <v>20</v>
      </c>
      <c r="F13" s="6">
        <v>3</v>
      </c>
      <c r="G13" s="6">
        <v>2.5</v>
      </c>
      <c r="H13" s="6">
        <v>0</v>
      </c>
      <c r="I13" s="5">
        <v>5</v>
      </c>
      <c r="J13" s="5">
        <v>31.8</v>
      </c>
      <c r="K13" s="5">
        <v>31.7</v>
      </c>
      <c r="L13" s="7">
        <v>37.880000000000003</v>
      </c>
    </row>
    <row r="14" spans="1:12" x14ac:dyDescent="0.3">
      <c r="A14" s="20" t="s">
        <v>25</v>
      </c>
      <c r="B14" s="6" t="s">
        <v>20</v>
      </c>
      <c r="C14" s="5">
        <v>25</v>
      </c>
      <c r="D14" s="5">
        <v>15</v>
      </c>
      <c r="E14" s="5">
        <v>25</v>
      </c>
      <c r="F14" s="6">
        <v>3</v>
      </c>
      <c r="G14" s="6">
        <v>2.5</v>
      </c>
      <c r="H14" s="6">
        <v>0</v>
      </c>
      <c r="I14" s="5">
        <v>5</v>
      </c>
      <c r="J14" s="5">
        <v>31.1</v>
      </c>
      <c r="K14" s="5">
        <v>31.2</v>
      </c>
      <c r="L14" s="7">
        <v>35.229999999999997</v>
      </c>
    </row>
    <row r="15" spans="1:12" x14ac:dyDescent="0.3">
      <c r="A15" s="20" t="s">
        <v>26</v>
      </c>
      <c r="B15" s="6" t="s">
        <v>20</v>
      </c>
      <c r="C15" s="5">
        <v>20</v>
      </c>
      <c r="D15" s="5">
        <v>15</v>
      </c>
      <c r="E15" s="5">
        <v>30</v>
      </c>
      <c r="F15" s="6">
        <v>3</v>
      </c>
      <c r="G15" s="6">
        <v>2.5</v>
      </c>
      <c r="H15" s="6">
        <v>0</v>
      </c>
      <c r="I15" s="5">
        <v>5</v>
      </c>
      <c r="J15" s="5">
        <v>31</v>
      </c>
      <c r="K15" s="5">
        <v>31.4</v>
      </c>
      <c r="L15" s="7">
        <v>27.49</v>
      </c>
    </row>
    <row r="16" spans="1:12" x14ac:dyDescent="0.3">
      <c r="A16" s="20">
        <v>8</v>
      </c>
      <c r="B16" s="6" t="s">
        <v>27</v>
      </c>
      <c r="C16" s="5">
        <v>37.5</v>
      </c>
      <c r="D16" s="5">
        <v>15</v>
      </c>
      <c r="E16" s="5">
        <v>12.5</v>
      </c>
      <c r="F16" s="6">
        <v>3</v>
      </c>
      <c r="G16" s="6">
        <v>2.5</v>
      </c>
      <c r="H16" s="6">
        <v>0</v>
      </c>
      <c r="I16" s="5">
        <v>5</v>
      </c>
      <c r="J16" s="5">
        <v>20</v>
      </c>
      <c r="K16" s="5">
        <v>20.3</v>
      </c>
      <c r="L16" s="7">
        <v>165.98</v>
      </c>
    </row>
    <row r="17" spans="1:12" x14ac:dyDescent="0.3">
      <c r="A17" s="20">
        <v>9</v>
      </c>
      <c r="B17" s="6" t="s">
        <v>28</v>
      </c>
      <c r="C17" s="5">
        <v>37.5</v>
      </c>
      <c r="D17" s="5">
        <v>15</v>
      </c>
      <c r="E17" s="5">
        <v>12.5</v>
      </c>
      <c r="F17" s="6">
        <v>3</v>
      </c>
      <c r="G17" s="6">
        <v>2.5</v>
      </c>
      <c r="H17" s="6">
        <v>0</v>
      </c>
      <c r="I17" s="5">
        <v>5</v>
      </c>
      <c r="J17" s="5">
        <v>40.4</v>
      </c>
      <c r="K17" s="5">
        <v>39.700000000000003</v>
      </c>
      <c r="L17" s="7">
        <v>44</v>
      </c>
    </row>
    <row r="18" spans="1:12" x14ac:dyDescent="0.3">
      <c r="A18" s="20">
        <v>10</v>
      </c>
      <c r="B18" s="6" t="s">
        <v>20</v>
      </c>
      <c r="C18" s="5">
        <v>35</v>
      </c>
      <c r="D18" s="5">
        <v>15</v>
      </c>
      <c r="E18" s="5">
        <v>12.5</v>
      </c>
      <c r="F18" s="6">
        <v>3</v>
      </c>
      <c r="G18" s="6">
        <v>2.5</v>
      </c>
      <c r="H18" s="6">
        <v>2.5</v>
      </c>
      <c r="I18" s="5">
        <v>5</v>
      </c>
      <c r="J18" s="5">
        <v>31</v>
      </c>
      <c r="K18" s="5">
        <v>31</v>
      </c>
      <c r="L18" s="7">
        <v>19.57</v>
      </c>
    </row>
    <row r="20" spans="1:12" ht="16.8" customHeight="1" x14ac:dyDescent="0.3"/>
    <row r="21" spans="1:12" ht="33.6" x14ac:dyDescent="0.3">
      <c r="A21" s="12" t="s">
        <v>6</v>
      </c>
      <c r="B21" s="13" t="s">
        <v>30</v>
      </c>
      <c r="C21" s="13" t="s">
        <v>33</v>
      </c>
      <c r="D21" s="13" t="s">
        <v>31</v>
      </c>
      <c r="E21" s="13" t="s">
        <v>34</v>
      </c>
      <c r="F21" s="13" t="s">
        <v>32</v>
      </c>
    </row>
    <row r="22" spans="1:12" x14ac:dyDescent="0.3">
      <c r="A22" s="20" t="s">
        <v>19</v>
      </c>
      <c r="B22" s="8">
        <f>AVERAGE(J9,K9)</f>
        <v>31.15</v>
      </c>
      <c r="C22" s="9">
        <f>G9*0.05/(C9+D9+G9+E9+H9+I9)</f>
        <v>1.7241379310344827E-3</v>
      </c>
      <c r="D22" s="9">
        <f>E9*0.05/(C9+D9+E9+G9+H9+I9)</f>
        <v>8.6206896551724137E-3</v>
      </c>
      <c r="E22" s="10">
        <f t="shared" ref="E22:E31" si="0">I9*0.8/(C9+D9+E9+G9+H9+I9)</f>
        <v>2.7586206896551724E-2</v>
      </c>
      <c r="F22" s="9">
        <f>C22/(2*L9)</f>
        <v>5.0345673393519907E-6</v>
      </c>
    </row>
    <row r="23" spans="1:12" x14ac:dyDescent="0.3">
      <c r="A23" s="20" t="s">
        <v>21</v>
      </c>
      <c r="B23" s="8">
        <f t="shared" ref="B23:B31" si="1">AVERAGE(J10,K10)</f>
        <v>31.3</v>
      </c>
      <c r="C23" s="9">
        <f t="shared" ref="C23:C31" si="2">G10*0.05/(C10+D10+G10+E10+H10+I10)</f>
        <v>1.7241379310344827E-3</v>
      </c>
      <c r="D23" s="9">
        <f t="shared" ref="D23:D31" si="3">E10*0.05/(C10+D10+E10+G10+H10+I10)</f>
        <v>8.6206896551724137E-3</v>
      </c>
      <c r="E23" s="10">
        <f t="shared" si="0"/>
        <v>5.5172413793103448E-2</v>
      </c>
      <c r="F23" s="9">
        <f t="shared" ref="F23:F31" si="4">C23/(2*L10)</f>
        <v>1.156208376498446E-5</v>
      </c>
    </row>
    <row r="24" spans="1:12" x14ac:dyDescent="0.3">
      <c r="A24" s="20" t="s">
        <v>22</v>
      </c>
      <c r="B24" s="8">
        <f t="shared" si="1"/>
        <v>31.6</v>
      </c>
      <c r="C24" s="9">
        <f t="shared" si="2"/>
        <v>1.7241379310344827E-3</v>
      </c>
      <c r="D24" s="9">
        <f t="shared" si="3"/>
        <v>8.6206896551724137E-3</v>
      </c>
      <c r="E24" s="10">
        <f t="shared" si="0"/>
        <v>8.2758620689655171E-2</v>
      </c>
      <c r="F24" s="9">
        <f t="shared" si="4"/>
        <v>1.6896686897633112E-5</v>
      </c>
    </row>
    <row r="25" spans="1:12" x14ac:dyDescent="0.3">
      <c r="A25" s="20" t="s">
        <v>23</v>
      </c>
      <c r="B25" s="8">
        <f t="shared" si="1"/>
        <v>31.2</v>
      </c>
      <c r="C25" s="9">
        <f t="shared" si="2"/>
        <v>1.7241379310344827E-3</v>
      </c>
      <c r="D25" s="9">
        <f t="shared" si="3"/>
        <v>8.6206896551724137E-3</v>
      </c>
      <c r="E25" s="11">
        <f t="shared" si="0"/>
        <v>0.1103448275862069</v>
      </c>
      <c r="F25" s="9">
        <f t="shared" si="4"/>
        <v>2.6123301985370951E-5</v>
      </c>
    </row>
    <row r="26" spans="1:12" x14ac:dyDescent="0.3">
      <c r="A26" s="20" t="s">
        <v>24</v>
      </c>
      <c r="B26" s="8">
        <f t="shared" si="1"/>
        <v>31.75</v>
      </c>
      <c r="C26" s="9">
        <f t="shared" si="2"/>
        <v>1.7241379310344827E-3</v>
      </c>
      <c r="D26" s="10">
        <f t="shared" si="3"/>
        <v>1.3793103448275862E-2</v>
      </c>
      <c r="E26" s="10">
        <f t="shared" si="0"/>
        <v>5.5172413793103448E-2</v>
      </c>
      <c r="F26" s="9">
        <f t="shared" si="4"/>
        <v>2.2757892437097182E-5</v>
      </c>
    </row>
    <row r="27" spans="1:12" x14ac:dyDescent="0.3">
      <c r="A27" s="20" t="s">
        <v>25</v>
      </c>
      <c r="B27" s="8">
        <f t="shared" si="1"/>
        <v>31.15</v>
      </c>
      <c r="C27" s="9">
        <f t="shared" si="2"/>
        <v>1.7241379310344827E-3</v>
      </c>
      <c r="D27" s="10">
        <f t="shared" si="3"/>
        <v>1.7241379310344827E-2</v>
      </c>
      <c r="E27" s="10">
        <f t="shared" si="0"/>
        <v>5.5172413793103448E-2</v>
      </c>
      <c r="F27" s="9">
        <f t="shared" si="4"/>
        <v>2.4469740718627347E-5</v>
      </c>
    </row>
    <row r="28" spans="1:12" x14ac:dyDescent="0.3">
      <c r="A28" s="20" t="s">
        <v>26</v>
      </c>
      <c r="B28" s="8">
        <f t="shared" si="1"/>
        <v>31.2</v>
      </c>
      <c r="C28" s="9">
        <f t="shared" si="2"/>
        <v>1.7241379310344827E-3</v>
      </c>
      <c r="D28" s="10">
        <f t="shared" si="3"/>
        <v>2.0689655172413793E-2</v>
      </c>
      <c r="E28" s="10">
        <f t="shared" si="0"/>
        <v>5.5172413793103448E-2</v>
      </c>
      <c r="F28" s="9">
        <f t="shared" si="4"/>
        <v>3.1359365788186303E-5</v>
      </c>
    </row>
    <row r="29" spans="1:12" x14ac:dyDescent="0.3">
      <c r="A29" s="20">
        <v>8</v>
      </c>
      <c r="B29" s="8">
        <f t="shared" si="1"/>
        <v>20.149999999999999</v>
      </c>
      <c r="C29" s="9">
        <f t="shared" si="2"/>
        <v>1.7241379310344827E-3</v>
      </c>
      <c r="D29" s="9">
        <f>E16*0.05/(C16+D16+E16+G16+H16+I16)</f>
        <v>8.6206896551724137E-3</v>
      </c>
      <c r="E29" s="10">
        <f t="shared" si="0"/>
        <v>5.5172413793103448E-2</v>
      </c>
      <c r="F29" s="9">
        <f t="shared" si="4"/>
        <v>5.1938122997785359E-6</v>
      </c>
    </row>
    <row r="30" spans="1:12" x14ac:dyDescent="0.3">
      <c r="A30" s="20">
        <v>9</v>
      </c>
      <c r="B30" s="8">
        <f t="shared" si="1"/>
        <v>40.049999999999997</v>
      </c>
      <c r="C30" s="9">
        <f t="shared" si="2"/>
        <v>1.7241379310344827E-3</v>
      </c>
      <c r="D30" s="9">
        <f t="shared" si="3"/>
        <v>8.6206896551724137E-3</v>
      </c>
      <c r="E30" s="10">
        <f t="shared" si="0"/>
        <v>5.5172413793103448E-2</v>
      </c>
      <c r="F30" s="9">
        <f t="shared" si="4"/>
        <v>1.9592476489028214E-5</v>
      </c>
    </row>
    <row r="31" spans="1:12" x14ac:dyDescent="0.3">
      <c r="A31" s="20">
        <v>10</v>
      </c>
      <c r="B31" s="8">
        <f t="shared" si="1"/>
        <v>31</v>
      </c>
      <c r="C31" s="9">
        <f t="shared" si="2"/>
        <v>1.7241379310344827E-3</v>
      </c>
      <c r="D31" s="9">
        <f t="shared" si="3"/>
        <v>8.6206896551724137E-3</v>
      </c>
      <c r="E31" s="10">
        <f t="shared" si="0"/>
        <v>5.5172413793103448E-2</v>
      </c>
      <c r="F31" s="9">
        <f t="shared" si="4"/>
        <v>4.4050534773492152E-5</v>
      </c>
    </row>
  </sheetData>
  <mergeCells count="13">
    <mergeCell ref="L7:L8"/>
    <mergeCell ref="C2:C3"/>
    <mergeCell ref="A7:A8"/>
    <mergeCell ref="B7:B8"/>
    <mergeCell ref="C7:C8"/>
    <mergeCell ref="D7:D8"/>
    <mergeCell ref="E7:E8"/>
    <mergeCell ref="A6:L6"/>
    <mergeCell ref="F7:F8"/>
    <mergeCell ref="G7:G8"/>
    <mergeCell ref="H7:H8"/>
    <mergeCell ref="I7:I8"/>
    <mergeCell ref="J7:K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188C-4A59-424C-AFDA-9C858CC89F3A}">
  <dimension ref="A1:F29"/>
  <sheetViews>
    <sheetView topLeftCell="A7" zoomScale="91" zoomScaleNormal="91" workbookViewId="0">
      <selection activeCell="F8" sqref="F8"/>
    </sheetView>
  </sheetViews>
  <sheetFormatPr defaultColWidth="9.19921875" defaultRowHeight="16.8" x14ac:dyDescent="0.3"/>
  <cols>
    <col min="1" max="1" width="9.19921875" style="1"/>
    <col min="2" max="2" width="15.8984375" style="1" customWidth="1"/>
    <col min="3" max="3" width="12.8984375" style="1" customWidth="1"/>
    <col min="4" max="9" width="9.19921875" style="1"/>
    <col min="10" max="10" width="9.796875" style="1" bestFit="1" customWidth="1"/>
    <col min="11" max="16384" width="9.19921875" style="1"/>
  </cols>
  <sheetData>
    <row r="1" spans="1:6" ht="21" x14ac:dyDescent="0.4">
      <c r="A1" s="14" t="s">
        <v>35</v>
      </c>
      <c r="B1" s="16">
        <f>'Số liệu thô'!C23</f>
        <v>1.7241379310344827E-3</v>
      </c>
    </row>
    <row r="2" spans="1:6" x14ac:dyDescent="0.3">
      <c r="A2" s="14" t="s">
        <v>41</v>
      </c>
      <c r="B2" s="15">
        <f>AVERAGE('Số liệu thô'!B23,'Số liệu thô'!B26,'Số liệu thô'!B27,'Số liệu thô'!B28)</f>
        <v>31.349999999999998</v>
      </c>
    </row>
    <row r="4" spans="1:6" ht="46.35" customHeight="1" x14ac:dyDescent="0.3">
      <c r="A4" s="12" t="s">
        <v>6</v>
      </c>
      <c r="B4" s="13" t="s">
        <v>46</v>
      </c>
      <c r="C4" s="12" t="s">
        <v>36</v>
      </c>
      <c r="D4" s="12" t="s">
        <v>37</v>
      </c>
      <c r="E4" s="12" t="s">
        <v>42</v>
      </c>
      <c r="F4" s="12" t="s">
        <v>43</v>
      </c>
    </row>
    <row r="5" spans="1:6" x14ac:dyDescent="0.3">
      <c r="A5" s="19" t="s">
        <v>21</v>
      </c>
      <c r="B5" s="15">
        <f>'Số liệu thô'!L10</f>
        <v>74.56</v>
      </c>
      <c r="C5" s="16">
        <f>$B$1/(2*B5)</f>
        <v>1.156208376498446E-5</v>
      </c>
      <c r="D5" s="15">
        <f>LOG10(C5)</f>
        <v>-4.9369638885728433</v>
      </c>
      <c r="E5" s="16">
        <f>'Số liệu thô'!D23</f>
        <v>8.6206896551724137E-3</v>
      </c>
      <c r="F5" s="15">
        <f>LOG10(E5)</f>
        <v>-2.0644579892269186</v>
      </c>
    </row>
    <row r="6" spans="1:6" x14ac:dyDescent="0.3">
      <c r="A6" s="19" t="s">
        <v>24</v>
      </c>
      <c r="B6" s="15">
        <f>'Số liệu thô'!L13</f>
        <v>37.880000000000003</v>
      </c>
      <c r="C6" s="16">
        <f t="shared" ref="C6:C8" si="0">$B$1/(2*B6)</f>
        <v>2.2757892437097182E-5</v>
      </c>
      <c r="D6" s="15">
        <f t="shared" ref="D6:D8" si="1">LOG10(C6)</f>
        <v>-4.6428679595581546</v>
      </c>
      <c r="E6" s="17">
        <f>'Số liệu thô'!D26</f>
        <v>1.3793103448275862E-2</v>
      </c>
      <c r="F6" s="15">
        <f t="shared" ref="F6:F8" si="2">LOG10(E6)</f>
        <v>-1.8603380065709938</v>
      </c>
    </row>
    <row r="7" spans="1:6" x14ac:dyDescent="0.3">
      <c r="A7" s="19" t="s">
        <v>25</v>
      </c>
      <c r="B7" s="15">
        <f>'Số liệu thô'!L14</f>
        <v>35.229999999999997</v>
      </c>
      <c r="C7" s="16">
        <f t="shared" si="0"/>
        <v>2.4469740718627347E-5</v>
      </c>
      <c r="D7" s="15">
        <f t="shared" si="1"/>
        <v>-4.6113706324081614</v>
      </c>
      <c r="E7" s="17">
        <f>'Số liệu thô'!D27</f>
        <v>1.7241379310344827E-2</v>
      </c>
      <c r="F7" s="15">
        <f t="shared" si="2"/>
        <v>-1.7634279935629373</v>
      </c>
    </row>
    <row r="8" spans="1:6" x14ac:dyDescent="0.3">
      <c r="A8" s="19" t="s">
        <v>26</v>
      </c>
      <c r="B8" s="15">
        <f>'Số liệu thô'!L15</f>
        <v>27.49</v>
      </c>
      <c r="C8" s="16">
        <f t="shared" si="0"/>
        <v>3.1359365788186303E-5</v>
      </c>
      <c r="D8" s="15">
        <f t="shared" si="1"/>
        <v>-4.5036327290703868</v>
      </c>
      <c r="E8" s="17">
        <f>'Số liệu thô'!D28</f>
        <v>2.0689655172413793E-2</v>
      </c>
      <c r="F8" s="15">
        <f t="shared" si="2"/>
        <v>-1.6842467475153124</v>
      </c>
    </row>
    <row r="26" spans="1:4" ht="21.45" customHeight="1" x14ac:dyDescent="0.3">
      <c r="A26" s="30" t="s">
        <v>38</v>
      </c>
      <c r="B26" s="30"/>
      <c r="C26" s="25" t="s">
        <v>40</v>
      </c>
      <c r="D26" s="25"/>
    </row>
    <row r="27" spans="1:4" ht="19.2" x14ac:dyDescent="0.3">
      <c r="A27" s="30"/>
      <c r="B27" s="30"/>
      <c r="C27" s="29" t="s">
        <v>44</v>
      </c>
      <c r="D27" s="29"/>
    </row>
    <row r="28" spans="1:4" x14ac:dyDescent="0.3">
      <c r="A28" s="31" t="s">
        <v>39</v>
      </c>
      <c r="B28" s="31"/>
      <c r="C28" s="32">
        <v>1.1093999999999999</v>
      </c>
      <c r="D28" s="32"/>
    </row>
    <row r="29" spans="1:4" ht="21" x14ac:dyDescent="0.4">
      <c r="A29" s="27" t="s">
        <v>45</v>
      </c>
      <c r="B29" s="28"/>
      <c r="C29" s="29">
        <v>1</v>
      </c>
      <c r="D29" s="29"/>
    </row>
  </sheetData>
  <mergeCells count="7">
    <mergeCell ref="A29:B29"/>
    <mergeCell ref="C29:D29"/>
    <mergeCell ref="A26:B27"/>
    <mergeCell ref="C26:D26"/>
    <mergeCell ref="C27:D27"/>
    <mergeCell ref="A28:B28"/>
    <mergeCell ref="C28:D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C76B-CCF2-43B5-9229-4A430AE1F41C}">
  <dimension ref="A1:F32"/>
  <sheetViews>
    <sheetView zoomScale="66" workbookViewId="0">
      <selection activeCell="F5" sqref="F5"/>
    </sheetView>
  </sheetViews>
  <sheetFormatPr defaultColWidth="9.19921875" defaultRowHeight="16.8" x14ac:dyDescent="0.3"/>
  <cols>
    <col min="1" max="1" width="9.19921875" style="1"/>
    <col min="2" max="2" width="19" style="1" customWidth="1"/>
    <col min="3" max="3" width="12.19921875" style="1" customWidth="1"/>
    <col min="4" max="4" width="9.19921875" style="1"/>
    <col min="5" max="5" width="13.19921875" style="1" customWidth="1"/>
    <col min="6" max="6" width="13.5" style="1" customWidth="1"/>
    <col min="7" max="16384" width="9.19921875" style="1"/>
  </cols>
  <sheetData>
    <row r="1" spans="1:6" ht="21" x14ac:dyDescent="0.4">
      <c r="A1" s="14" t="s">
        <v>35</v>
      </c>
      <c r="B1" s="16">
        <f>'Số liệu thô'!C22</f>
        <v>1.7241379310344827E-3</v>
      </c>
    </row>
    <row r="2" spans="1:6" x14ac:dyDescent="0.3">
      <c r="A2" s="14" t="s">
        <v>41</v>
      </c>
      <c r="B2" s="15">
        <f>AVERAGE('Số liệu thô'!B22,'Số liệu thô'!B23,'Số liệu thô'!B24,'Số liệu thô'!B25)</f>
        <v>31.312500000000004</v>
      </c>
    </row>
    <row r="4" spans="1:6" ht="39" customHeight="1" x14ac:dyDescent="0.3">
      <c r="A4" s="12" t="s">
        <v>6</v>
      </c>
      <c r="B4" s="13" t="s">
        <v>46</v>
      </c>
      <c r="C4" s="12" t="s">
        <v>36</v>
      </c>
      <c r="D4" s="12" t="s">
        <v>37</v>
      </c>
      <c r="E4" s="12" t="s">
        <v>47</v>
      </c>
      <c r="F4" s="12" t="s">
        <v>48</v>
      </c>
    </row>
    <row r="5" spans="1:6" x14ac:dyDescent="0.3">
      <c r="A5" s="19" t="s">
        <v>19</v>
      </c>
      <c r="B5" s="15">
        <f>'Số liệu thô'!L9</f>
        <v>171.23</v>
      </c>
      <c r="C5" s="16">
        <f>$B$1/(2*B5)</f>
        <v>5.0345673393519907E-6</v>
      </c>
      <c r="D5" s="15">
        <f>LOG10(C5)</f>
        <v>-5.2980378459059345</v>
      </c>
      <c r="E5" s="17">
        <f>'Số liệu thô'!E22</f>
        <v>2.7586206896551724E-2</v>
      </c>
      <c r="F5" s="15">
        <f>LOG10(E5)</f>
        <v>-1.5593080109070125</v>
      </c>
    </row>
    <row r="6" spans="1:6" x14ac:dyDescent="0.3">
      <c r="A6" s="19" t="s">
        <v>21</v>
      </c>
      <c r="B6" s="15">
        <f>'Số liệu thô'!L10</f>
        <v>74.56</v>
      </c>
      <c r="C6" s="16">
        <f t="shared" ref="C6:C8" si="0">$B$1/(2*B6)</f>
        <v>1.156208376498446E-5</v>
      </c>
      <c r="D6" s="15">
        <f t="shared" ref="D6:D8" si="1">LOG10(C6)</f>
        <v>-4.9369638885728433</v>
      </c>
      <c r="E6" s="17">
        <f>'Số liệu thô'!E23</f>
        <v>5.5172413793103448E-2</v>
      </c>
      <c r="F6" s="15">
        <f t="shared" ref="F6:F8" si="2">LOG10(E6)</f>
        <v>-1.2582780152430313</v>
      </c>
    </row>
    <row r="7" spans="1:6" x14ac:dyDescent="0.3">
      <c r="A7" s="19" t="s">
        <v>22</v>
      </c>
      <c r="B7" s="15">
        <f>'Số liệu thô'!L11</f>
        <v>51.02</v>
      </c>
      <c r="C7" s="16">
        <f t="shared" si="0"/>
        <v>1.6896686897633112E-5</v>
      </c>
      <c r="D7" s="15">
        <f t="shared" si="1"/>
        <v>-4.7721984435006899</v>
      </c>
      <c r="E7" s="17">
        <f>'Số liệu thô'!E24</f>
        <v>8.2758620689655171E-2</v>
      </c>
      <c r="F7" s="15">
        <f t="shared" si="2"/>
        <v>-1.0821867561873502</v>
      </c>
    </row>
    <row r="8" spans="1:6" x14ac:dyDescent="0.3">
      <c r="A8" s="19" t="s">
        <v>23</v>
      </c>
      <c r="B8" s="15">
        <f>'Số liệu thô'!L12</f>
        <v>33</v>
      </c>
      <c r="C8" s="16">
        <f t="shared" si="0"/>
        <v>2.6123301985370951E-5</v>
      </c>
      <c r="D8" s="15">
        <f t="shared" si="1"/>
        <v>-4.5829719291048061</v>
      </c>
      <c r="E8" s="15">
        <f>'Số liệu thô'!E25</f>
        <v>0.1103448275862069</v>
      </c>
      <c r="F8" s="15">
        <f t="shared" si="2"/>
        <v>-0.95724801957905015</v>
      </c>
    </row>
    <row r="29" spans="1:4" ht="22.35" customHeight="1" x14ac:dyDescent="0.3">
      <c r="A29" s="30" t="s">
        <v>38</v>
      </c>
      <c r="B29" s="30"/>
      <c r="C29" s="25" t="s">
        <v>49</v>
      </c>
      <c r="D29" s="25"/>
    </row>
    <row r="30" spans="1:4" ht="19.2" x14ac:dyDescent="0.3">
      <c r="A30" s="30"/>
      <c r="B30" s="30"/>
      <c r="C30" s="29" t="s">
        <v>50</v>
      </c>
      <c r="D30" s="29"/>
    </row>
    <row r="31" spans="1:4" x14ac:dyDescent="0.3">
      <c r="A31" s="31" t="s">
        <v>39</v>
      </c>
      <c r="B31" s="31"/>
      <c r="C31" s="32">
        <v>1.1606000000000001</v>
      </c>
      <c r="D31" s="32"/>
    </row>
    <row r="32" spans="1:4" ht="21" x14ac:dyDescent="0.4">
      <c r="A32" s="27" t="s">
        <v>45</v>
      </c>
      <c r="B32" s="28"/>
      <c r="C32" s="29">
        <v>1</v>
      </c>
      <c r="D32" s="29"/>
    </row>
  </sheetData>
  <mergeCells count="7">
    <mergeCell ref="A32:B32"/>
    <mergeCell ref="C32:D32"/>
    <mergeCell ref="A29:B30"/>
    <mergeCell ref="C29:D29"/>
    <mergeCell ref="C30:D30"/>
    <mergeCell ref="A31:B31"/>
    <mergeCell ref="C31:D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DB9E-50CE-49F4-A676-A827C0B4EA5E}">
  <dimension ref="A1:E13"/>
  <sheetViews>
    <sheetView zoomScale="85" zoomScaleNormal="85" workbookViewId="0">
      <selection activeCell="E11" sqref="E11"/>
    </sheetView>
  </sheetViews>
  <sheetFormatPr defaultColWidth="9.19921875" defaultRowHeight="16.8" x14ac:dyDescent="0.3"/>
  <cols>
    <col min="1" max="1" width="21.8984375" style="1" customWidth="1"/>
    <col min="2" max="2" width="9.3984375" style="1" bestFit="1" customWidth="1"/>
    <col min="3" max="3" width="9.19921875" style="1"/>
    <col min="4" max="4" width="13.09765625" style="1" customWidth="1"/>
    <col min="5" max="5" width="12.59765625" style="1" customWidth="1"/>
    <col min="6" max="16384" width="9.19921875" style="1"/>
  </cols>
  <sheetData>
    <row r="1" spans="1:5" ht="19.8" x14ac:dyDescent="0.3">
      <c r="A1" s="22" t="s">
        <v>35</v>
      </c>
      <c r="B1" s="9">
        <f>'Số liệu thô'!C23</f>
        <v>1.7241379310344827E-3</v>
      </c>
    </row>
    <row r="2" spans="1:5" ht="18" customHeight="1" x14ac:dyDescent="0.3">
      <c r="A2" s="22" t="s">
        <v>51</v>
      </c>
      <c r="B2" s="18">
        <f>'XĐ bậc I-'!C29</f>
        <v>1</v>
      </c>
    </row>
    <row r="3" spans="1:5" ht="19.2" x14ac:dyDescent="0.3">
      <c r="A3" s="22" t="s">
        <v>52</v>
      </c>
      <c r="B3" s="18">
        <f>'XĐ bậc H2O2'!C32</f>
        <v>1</v>
      </c>
    </row>
    <row r="5" spans="1:5" ht="19.8" x14ac:dyDescent="0.3">
      <c r="A5" s="12" t="s">
        <v>6</v>
      </c>
      <c r="B5" s="12" t="s">
        <v>54</v>
      </c>
      <c r="C5" s="12" t="s">
        <v>34</v>
      </c>
      <c r="D5" s="12" t="s">
        <v>36</v>
      </c>
      <c r="E5" s="12" t="s">
        <v>53</v>
      </c>
    </row>
    <row r="6" spans="1:5" x14ac:dyDescent="0.3">
      <c r="A6" s="19" t="s">
        <v>19</v>
      </c>
      <c r="B6" s="9">
        <f>'Số liệu thô'!D22</f>
        <v>8.6206896551724137E-3</v>
      </c>
      <c r="C6" s="10">
        <f>'Số liệu thô'!E22</f>
        <v>2.7586206896551724E-2</v>
      </c>
      <c r="D6" s="9">
        <f>'Số liệu thô'!F22</f>
        <v>5.0345673393519907E-6</v>
      </c>
      <c r="E6" s="10">
        <f>D6/((B6^$B$2)*(C6^$B$3))</f>
        <v>2.1170355661975122E-2</v>
      </c>
    </row>
    <row r="7" spans="1:5" x14ac:dyDescent="0.3">
      <c r="A7" s="19" t="s">
        <v>21</v>
      </c>
      <c r="B7" s="9">
        <f>'Số liệu thô'!D23</f>
        <v>8.6206896551724137E-3</v>
      </c>
      <c r="C7" s="10">
        <f>'Số liệu thô'!E23</f>
        <v>5.5172413793103448E-2</v>
      </c>
      <c r="D7" s="9">
        <f>'Số liệu thô'!F23</f>
        <v>1.156208376498446E-5</v>
      </c>
      <c r="E7" s="10">
        <f t="shared" ref="E7:E12" si="0">D7/((B7^$B$2)*(C7^$B$3))</f>
        <v>2.4309281115879825E-2</v>
      </c>
    </row>
    <row r="8" spans="1:5" x14ac:dyDescent="0.3">
      <c r="A8" s="19" t="s">
        <v>22</v>
      </c>
      <c r="B8" s="9">
        <f>'Số liệu thô'!D24</f>
        <v>8.6206896551724137E-3</v>
      </c>
      <c r="C8" s="10">
        <f>'Số liệu thô'!E24</f>
        <v>8.2758620689655171E-2</v>
      </c>
      <c r="D8" s="9">
        <f>'Số liệu thô'!F24</f>
        <v>1.6896686897633112E-5</v>
      </c>
      <c r="E8" s="10">
        <f t="shared" si="0"/>
        <v>2.3683522801515745E-2</v>
      </c>
    </row>
    <row r="9" spans="1:5" x14ac:dyDescent="0.3">
      <c r="A9" s="19" t="s">
        <v>23</v>
      </c>
      <c r="B9" s="9">
        <f>'Số liệu thô'!D25</f>
        <v>8.6206896551724137E-3</v>
      </c>
      <c r="C9" s="11">
        <f>'Số liệu thô'!E25</f>
        <v>0.1103448275862069</v>
      </c>
      <c r="D9" s="9">
        <f>'Số liệu thô'!F25</f>
        <v>2.6123301985370951E-5</v>
      </c>
      <c r="E9" s="10">
        <f t="shared" si="0"/>
        <v>2.7462121212121212E-2</v>
      </c>
    </row>
    <row r="10" spans="1:5" x14ac:dyDescent="0.3">
      <c r="A10" s="19" t="s">
        <v>24</v>
      </c>
      <c r="B10" s="10">
        <f>'Số liệu thô'!D26</f>
        <v>1.3793103448275862E-2</v>
      </c>
      <c r="C10" s="10">
        <f>'Số liệu thô'!E26</f>
        <v>5.5172413793103448E-2</v>
      </c>
      <c r="D10" s="9">
        <f>'Số liệu thô'!F26</f>
        <v>2.2757892437097182E-5</v>
      </c>
      <c r="E10" s="10">
        <f t="shared" si="0"/>
        <v>2.9905293030623017E-2</v>
      </c>
    </row>
    <row r="11" spans="1:5" x14ac:dyDescent="0.3">
      <c r="A11" s="19" t="s">
        <v>25</v>
      </c>
      <c r="B11" s="10">
        <f>'Số liệu thô'!D27</f>
        <v>1.7241379310344827E-2</v>
      </c>
      <c r="C11" s="10">
        <f>'Số liệu thô'!E27</f>
        <v>5.5172413793103448E-2</v>
      </c>
      <c r="D11" s="9">
        <f>'Số liệu thô'!F27</f>
        <v>2.4469740718627347E-5</v>
      </c>
      <c r="E11" s="10">
        <f t="shared" si="0"/>
        <v>2.5723814930456997E-2</v>
      </c>
    </row>
    <row r="12" spans="1:5" x14ac:dyDescent="0.3">
      <c r="A12" s="19" t="s">
        <v>26</v>
      </c>
      <c r="B12" s="10">
        <f>'Số liệu thô'!D28</f>
        <v>2.0689655172413793E-2</v>
      </c>
      <c r="C12" s="10">
        <f>'Số liệu thô'!E28</f>
        <v>5.5172413793103448E-2</v>
      </c>
      <c r="D12" s="9">
        <f>'Số liệu thô'!F28</f>
        <v>3.1359365788186303E-5</v>
      </c>
      <c r="E12" s="10">
        <f t="shared" si="0"/>
        <v>2.7472111070692376E-2</v>
      </c>
    </row>
    <row r="13" spans="1:5" x14ac:dyDescent="0.3">
      <c r="A13" s="33" t="s">
        <v>55</v>
      </c>
      <c r="B13" s="33"/>
      <c r="C13" s="33"/>
      <c r="D13" s="33"/>
      <c r="E13" s="10">
        <f>AVERAGE(E6:E12)</f>
        <v>2.5675214260466324E-2</v>
      </c>
    </row>
  </sheetData>
  <mergeCells count="1">
    <mergeCell ref="A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6D18-E1E3-4850-A276-9AE24019D62E}">
  <dimension ref="A1:H34"/>
  <sheetViews>
    <sheetView topLeftCell="A9" zoomScale="79" zoomScaleNormal="79" workbookViewId="0">
      <selection activeCell="C31" sqref="C31:D31"/>
    </sheetView>
  </sheetViews>
  <sheetFormatPr defaultColWidth="9.19921875" defaultRowHeight="16.8" x14ac:dyDescent="0.3"/>
  <cols>
    <col min="1" max="1" width="20.296875" style="1" customWidth="1"/>
    <col min="2" max="2" width="15.8984375" style="1" customWidth="1"/>
    <col min="3" max="3" width="12.8984375" style="1" customWidth="1"/>
    <col min="4" max="4" width="13.5" style="1" customWidth="1"/>
    <col min="5" max="6" width="9.19921875" style="1"/>
    <col min="7" max="7" width="14.09765625" style="1" customWidth="1"/>
    <col min="8" max="16384" width="9.19921875" style="1"/>
  </cols>
  <sheetData>
    <row r="1" spans="1:8" ht="19.8" x14ac:dyDescent="0.3">
      <c r="A1" s="22" t="s">
        <v>35</v>
      </c>
      <c r="B1" s="9">
        <f>'Số liệu thô'!C23</f>
        <v>1.7241379310344827E-3</v>
      </c>
      <c r="D1" s="12" t="s">
        <v>6</v>
      </c>
      <c r="E1" s="12" t="s">
        <v>54</v>
      </c>
      <c r="F1" s="12" t="s">
        <v>34</v>
      </c>
      <c r="G1" s="12" t="s">
        <v>36</v>
      </c>
      <c r="H1" s="12" t="s">
        <v>53</v>
      </c>
    </row>
    <row r="2" spans="1:8" ht="19.8" x14ac:dyDescent="0.3">
      <c r="A2" s="22" t="s">
        <v>51</v>
      </c>
      <c r="B2" s="18">
        <f>'XĐ bậc I-'!C29</f>
        <v>1</v>
      </c>
      <c r="D2" s="19">
        <v>8</v>
      </c>
      <c r="E2" s="9">
        <f>'Số liệu thô'!D29</f>
        <v>8.6206896551724137E-3</v>
      </c>
      <c r="F2" s="10">
        <f>'Số liệu thô'!E29</f>
        <v>5.5172413793103448E-2</v>
      </c>
      <c r="G2" s="9">
        <f>'Số liệu thô'!F29</f>
        <v>5.1938122997785359E-6</v>
      </c>
      <c r="H2" s="10">
        <f>G2/((E2^$B$2)*(F2^$B$3))</f>
        <v>1.0919990360284371E-2</v>
      </c>
    </row>
    <row r="3" spans="1:8" ht="19.2" x14ac:dyDescent="0.3">
      <c r="A3" s="22" t="s">
        <v>52</v>
      </c>
      <c r="B3" s="18">
        <f>'XĐ bậc H2O2'!C32</f>
        <v>1</v>
      </c>
      <c r="D3" s="19" t="s">
        <v>21</v>
      </c>
      <c r="E3" s="9">
        <f>'Số liệu thô'!D23</f>
        <v>8.6206896551724137E-3</v>
      </c>
      <c r="F3" s="10">
        <f>'Số liệu thô'!E23</f>
        <v>5.5172413793103448E-2</v>
      </c>
      <c r="G3" s="9">
        <f>'Số liệu thô'!F23</f>
        <v>1.156208376498446E-5</v>
      </c>
      <c r="H3" s="10">
        <f>G3/((E3^$B$2)*(F3^$B$3))</f>
        <v>2.4309281115879825E-2</v>
      </c>
    </row>
    <row r="4" spans="1:8" x14ac:dyDescent="0.3">
      <c r="D4" s="19">
        <v>9</v>
      </c>
      <c r="E4" s="9">
        <f>'Số liệu thô'!D30</f>
        <v>8.6206896551724137E-3</v>
      </c>
      <c r="F4" s="10">
        <f>'Số liệu thô'!E30</f>
        <v>5.5172413793103448E-2</v>
      </c>
      <c r="G4" s="9">
        <f>'Số liệu thô'!F30</f>
        <v>1.9592476489028214E-5</v>
      </c>
      <c r="H4" s="10">
        <f>G4/((E4^$B$2)*(F4^$B$3))</f>
        <v>4.1193181818181823E-2</v>
      </c>
    </row>
    <row r="6" spans="1:8" ht="19.8" x14ac:dyDescent="0.3">
      <c r="A6" s="19" t="s">
        <v>6</v>
      </c>
      <c r="B6" s="19" t="s">
        <v>63</v>
      </c>
      <c r="C6" s="19" t="s">
        <v>58</v>
      </c>
      <c r="D6" s="19" t="s">
        <v>57</v>
      </c>
      <c r="E6" s="19" t="s">
        <v>53</v>
      </c>
      <c r="F6" s="19" t="s">
        <v>56</v>
      </c>
    </row>
    <row r="7" spans="1:8" x14ac:dyDescent="0.3">
      <c r="A7" s="19">
        <v>8</v>
      </c>
      <c r="B7" s="8">
        <f>'Số liệu thô'!B29</f>
        <v>20.149999999999999</v>
      </c>
      <c r="C7" s="8">
        <f>B7+273</f>
        <v>293.14999999999998</v>
      </c>
      <c r="D7" s="23">
        <f>1/C7</f>
        <v>3.4112229234180458E-3</v>
      </c>
      <c r="E7" s="10">
        <f>H2</f>
        <v>1.0919990360284371E-2</v>
      </c>
      <c r="F7" s="11">
        <f>LN(E7)</f>
        <v>-4.517160191423609</v>
      </c>
    </row>
    <row r="8" spans="1:8" x14ac:dyDescent="0.3">
      <c r="A8" s="19" t="s">
        <v>21</v>
      </c>
      <c r="B8" s="18">
        <f>'Số liệu thô'!B23</f>
        <v>31.3</v>
      </c>
      <c r="C8" s="8">
        <f t="shared" ref="C8:C9" si="0">B8+273</f>
        <v>304.3</v>
      </c>
      <c r="D8" s="23">
        <f t="shared" ref="D8:D9" si="1">1/C8</f>
        <v>3.2862306933946761E-3</v>
      </c>
      <c r="E8" s="10">
        <f>H3</f>
        <v>2.4309281115879825E-2</v>
      </c>
      <c r="F8" s="11">
        <f t="shared" ref="F8:F9" si="2">LN(E8)</f>
        <v>-3.7168970626306432</v>
      </c>
    </row>
    <row r="9" spans="1:8" x14ac:dyDescent="0.3">
      <c r="A9" s="19">
        <v>9</v>
      </c>
      <c r="B9" s="8">
        <f>'Số liệu thô'!B30</f>
        <v>40.049999999999997</v>
      </c>
      <c r="C9" s="8">
        <f t="shared" si="0"/>
        <v>313.05</v>
      </c>
      <c r="D9" s="23">
        <f t="shared" si="1"/>
        <v>3.194377894904967E-3</v>
      </c>
      <c r="E9" s="10">
        <f>H4</f>
        <v>4.1193181818181823E-2</v>
      </c>
      <c r="F9" s="11">
        <f t="shared" si="2"/>
        <v>-3.1894825261715685</v>
      </c>
    </row>
    <row r="29" spans="1:4" ht="21" customHeight="1" x14ac:dyDescent="0.3">
      <c r="A29" s="30" t="s">
        <v>38</v>
      </c>
      <c r="B29" s="30"/>
      <c r="C29" s="25" t="s">
        <v>59</v>
      </c>
      <c r="D29" s="25"/>
    </row>
    <row r="30" spans="1:4" ht="19.2" x14ac:dyDescent="0.3">
      <c r="A30" s="30"/>
      <c r="B30" s="30"/>
      <c r="C30" s="29" t="s">
        <v>60</v>
      </c>
      <c r="D30" s="29"/>
    </row>
    <row r="31" spans="1:4" ht="19.2" x14ac:dyDescent="0.4">
      <c r="A31" s="27" t="s">
        <v>61</v>
      </c>
      <c r="B31" s="28"/>
      <c r="C31" s="35">
        <v>6139</v>
      </c>
      <c r="D31" s="36"/>
    </row>
    <row r="32" spans="1:4" ht="19.2" x14ac:dyDescent="0.4">
      <c r="A32" s="31" t="s">
        <v>62</v>
      </c>
      <c r="B32" s="31"/>
      <c r="C32" s="37">
        <f>C31*8.314</f>
        <v>51039.646000000001</v>
      </c>
      <c r="D32" s="37"/>
    </row>
    <row r="33" spans="1:4" x14ac:dyDescent="0.3">
      <c r="A33" s="34"/>
      <c r="B33" s="34"/>
      <c r="C33" s="34"/>
      <c r="D33" s="34"/>
    </row>
    <row r="34" spans="1:4" x14ac:dyDescent="0.3">
      <c r="A34" s="34"/>
      <c r="B34" s="34"/>
      <c r="C34" s="34"/>
      <c r="D34" s="34"/>
    </row>
  </sheetData>
  <mergeCells count="11">
    <mergeCell ref="A33:B33"/>
    <mergeCell ref="C33:D33"/>
    <mergeCell ref="A34:B34"/>
    <mergeCell ref="C34:D34"/>
    <mergeCell ref="A29:B30"/>
    <mergeCell ref="C29:D29"/>
    <mergeCell ref="C30:D30"/>
    <mergeCell ref="A31:B31"/>
    <mergeCell ref="C31:D31"/>
    <mergeCell ref="A32:B32"/>
    <mergeCell ref="C32:D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759F-F8F0-4673-8740-B8690E5BCD33}">
  <dimension ref="A1:H6"/>
  <sheetViews>
    <sheetView workbookViewId="0">
      <selection activeCell="A17" sqref="A17"/>
    </sheetView>
  </sheetViews>
  <sheetFormatPr defaultColWidth="9.19921875" defaultRowHeight="16.8" x14ac:dyDescent="0.3"/>
  <cols>
    <col min="1" max="1" width="19.69921875" style="1" customWidth="1"/>
    <col min="2" max="3" width="9.19921875" style="1"/>
    <col min="4" max="4" width="13" style="1" customWidth="1"/>
    <col min="5" max="6" width="9.19921875" style="1"/>
    <col min="7" max="7" width="14.8984375" style="1" customWidth="1"/>
    <col min="8" max="16384" width="9.19921875" style="1"/>
  </cols>
  <sheetData>
    <row r="1" spans="1:8" ht="19.8" x14ac:dyDescent="0.3">
      <c r="A1" s="22" t="s">
        <v>35</v>
      </c>
      <c r="B1" s="9">
        <f>'Số liệu thô'!C23</f>
        <v>1.7241379310344827E-3</v>
      </c>
      <c r="D1" s="12" t="s">
        <v>6</v>
      </c>
      <c r="E1" s="12" t="s">
        <v>54</v>
      </c>
      <c r="F1" s="12" t="s">
        <v>34</v>
      </c>
      <c r="G1" s="12" t="s">
        <v>36</v>
      </c>
      <c r="H1" s="12" t="s">
        <v>53</v>
      </c>
    </row>
    <row r="2" spans="1:8" ht="19.8" x14ac:dyDescent="0.3">
      <c r="A2" s="22" t="s">
        <v>51</v>
      </c>
      <c r="B2" s="18">
        <f>'XĐ bậc I-'!C29</f>
        <v>1</v>
      </c>
      <c r="D2" s="19" t="s">
        <v>21</v>
      </c>
      <c r="E2" s="9">
        <f>'Số liệu thô'!D23</f>
        <v>8.6206896551724137E-3</v>
      </c>
      <c r="F2" s="10">
        <f>'Số liệu thô'!E23</f>
        <v>5.5172413793103448E-2</v>
      </c>
      <c r="G2" s="9">
        <f>'Số liệu thô'!F23</f>
        <v>1.156208376498446E-5</v>
      </c>
      <c r="H2" s="10">
        <f>G2/((E2^$B$2)*(F2^$B$3))</f>
        <v>2.4309281115879825E-2</v>
      </c>
    </row>
    <row r="3" spans="1:8" ht="19.2" x14ac:dyDescent="0.3">
      <c r="A3" s="22" t="s">
        <v>52</v>
      </c>
      <c r="B3" s="18">
        <f>'XĐ bậc H2O2'!C32</f>
        <v>1</v>
      </c>
      <c r="D3" s="19">
        <v>10</v>
      </c>
      <c r="E3" s="9">
        <f>'Số liệu thô'!D31</f>
        <v>8.6206896551724137E-3</v>
      </c>
      <c r="F3" s="10">
        <f>'Số liệu thô'!E31</f>
        <v>5.5172413793103448E-2</v>
      </c>
      <c r="G3" s="9">
        <f>'Số liệu thô'!F31</f>
        <v>4.4050534773492152E-5</v>
      </c>
      <c r="H3" s="10">
        <f>G3/((E3^$B$2)*(F3^$B$3))</f>
        <v>9.261624936126725E-2</v>
      </c>
    </row>
    <row r="5" spans="1:8" ht="19.2" x14ac:dyDescent="0.4">
      <c r="A5" s="14" t="s">
        <v>65</v>
      </c>
      <c r="B5" s="38">
        <f>H3/H2</f>
        <v>3.8099131323454274</v>
      </c>
      <c r="C5" s="39"/>
      <c r="D5" s="40"/>
    </row>
    <row r="6" spans="1:8" ht="38.549999999999997" customHeight="1" x14ac:dyDescent="0.3">
      <c r="A6" s="21" t="s">
        <v>64</v>
      </c>
      <c r="B6" s="41" t="s">
        <v>66</v>
      </c>
      <c r="C6" s="42"/>
      <c r="D6" s="43"/>
    </row>
  </sheetData>
  <mergeCells count="2">
    <mergeCell ref="B5:D5"/>
    <mergeCell ref="B6: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FB4B8-8D59-4368-A280-D675951A7BD2}">
  <dimension ref="A1"/>
  <sheetViews>
    <sheetView tabSelected="1" zoomScale="113" workbookViewId="0">
      <selection activeCell="D18" sqref="D18"/>
    </sheetView>
  </sheetViews>
  <sheetFormatPr defaultRowHeight="13.8"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Số liệu thô</vt:lpstr>
      <vt:lpstr>XĐ bậc I-</vt:lpstr>
      <vt:lpstr>XĐ bậc H2O2</vt:lpstr>
      <vt:lpstr>Hằng số tốc độ p.ứ</vt:lpstr>
      <vt:lpstr>Ảnh hưởng của nhiệt độ</vt:lpstr>
      <vt:lpstr>Ảnh hưởng của xúc tác</vt:lpstr>
      <vt:lpstr>Trả lời câu hỏi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Nguyễn</dc:creator>
  <cp:lastModifiedBy>TRẦN THỊ DUYÊN</cp:lastModifiedBy>
  <dcterms:created xsi:type="dcterms:W3CDTF">2024-05-17T14:36:55Z</dcterms:created>
  <dcterms:modified xsi:type="dcterms:W3CDTF">2024-05-19T11:06:05Z</dcterms:modified>
</cp:coreProperties>
</file>